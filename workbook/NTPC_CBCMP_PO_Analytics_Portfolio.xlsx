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esktop\potfolio\ntpc_cbcmp_github\workbook\"/>
    </mc:Choice>
  </mc:AlternateContent>
  <xr:revisionPtr revIDLastSave="0" documentId="13_ncr:1_{C329EB15-FF04-4DC3-86EC-4B8BC486F0B3}" xr6:coauthVersionLast="47" xr6:coauthVersionMax="47" xr10:uidLastSave="{00000000-0000-0000-0000-000000000000}"/>
  <bookViews>
    <workbookView xWindow="-96" yWindow="0" windowWidth="14016" windowHeight="12336" firstSheet="3" activeTab="3" xr2:uid="{00000000-000D-0000-FFFF-FFFF00000000}"/>
  </bookViews>
  <sheets>
    <sheet name="Navigation_Hub" sheetId="1" r:id="rId1"/>
    <sheet name="Executive_Dashboard" sheetId="2" r:id="rId2"/>
    <sheet name="q_Unified_Master" sheetId="15" r:id="rId3"/>
    <sheet name="q_QA_Checks" sheetId="19" r:id="rId4"/>
    <sheet name="Manual_PO_Additions" sheetId="10" r:id="rId5"/>
    <sheet name="Manual_PO_Overrides" sheetId="11" r:id="rId6"/>
    <sheet name="Manual_PO_Exclusions" sheetId="12" r:id="rId7"/>
    <sheet name="PQ_Settings" sheetId="13" r:id="rId8"/>
  </sheets>
  <definedNames>
    <definedName name="ExternalData_1" localSheetId="3" hidden="1">q_QA_Checks!$A$1:$D$15</definedName>
    <definedName name="ExternalData_1" localSheetId="2" hidden="1">q_Unified_Master!$A$1:$Y$26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C5" i="2"/>
  <c r="J21" i="2"/>
  <c r="J19" i="2"/>
  <c r="J18" i="2"/>
  <c r="J17" i="2"/>
  <c r="J16" i="2"/>
  <c r="J15" i="2"/>
  <c r="J14" i="2"/>
  <c r="J13" i="2"/>
  <c r="J12" i="2"/>
  <c r="J11" i="2"/>
  <c r="J10" i="2"/>
  <c r="I21" i="2"/>
  <c r="I20" i="2" a="1"/>
  <c r="I20" i="2" s="1"/>
  <c r="I19" i="2"/>
  <c r="I18" i="2"/>
  <c r="I17" i="2"/>
  <c r="I16" i="2"/>
  <c r="I15" i="2"/>
  <c r="I14" i="2"/>
  <c r="I13" i="2"/>
  <c r="I12" i="2"/>
  <c r="I11" i="2"/>
  <c r="I10" i="2"/>
  <c r="I22" i="2"/>
  <c r="J23" i="2"/>
  <c r="E22" i="2"/>
  <c r="E10" i="2"/>
  <c r="E12" i="2"/>
  <c r="E13" i="2"/>
  <c r="E14" i="2"/>
  <c r="E15" i="2"/>
  <c r="E16" i="2"/>
  <c r="E17" i="2"/>
  <c r="E18" i="2"/>
  <c r="E19" i="2"/>
  <c r="E20" i="2"/>
  <c r="E21" i="2"/>
  <c r="D22" i="2"/>
  <c r="D11" i="2"/>
  <c r="D12" i="2"/>
  <c r="D13" i="2"/>
  <c r="D14" i="2"/>
  <c r="D15" i="2"/>
  <c r="D16" i="2"/>
  <c r="D17" i="2"/>
  <c r="D18" i="2"/>
  <c r="D19" i="2"/>
  <c r="D20" i="2"/>
  <c r="D21" i="2"/>
  <c r="D10" i="2"/>
  <c r="C22" i="2"/>
  <c r="C11" i="2"/>
  <c r="C12" i="2"/>
  <c r="C13" i="2"/>
  <c r="C14" i="2"/>
  <c r="C15" i="2"/>
  <c r="C16" i="2"/>
  <c r="C17" i="2"/>
  <c r="C18" i="2"/>
  <c r="C19" i="2"/>
  <c r="C20" i="2"/>
  <c r="C21" i="2"/>
  <c r="C10" i="2"/>
  <c r="B22" i="2"/>
  <c r="B10" i="2"/>
  <c r="B11" i="2"/>
  <c r="B12" i="2"/>
  <c r="B13" i="2"/>
  <c r="B14" i="2"/>
  <c r="B15" i="2"/>
  <c r="B16" i="2"/>
  <c r="B17" i="2"/>
  <c r="B18" i="2"/>
  <c r="B19" i="2"/>
  <c r="B20" i="2"/>
  <c r="B21" i="2"/>
  <c r="I5" i="2"/>
  <c r="G5" i="2"/>
  <c r="E5" i="2"/>
  <c r="A5" i="2"/>
  <c r="F14" i="2" l="1"/>
  <c r="F22" i="2"/>
  <c r="F16" i="2"/>
  <c r="F20" i="2"/>
  <c r="F12" i="2"/>
  <c r="F15" i="2"/>
  <c r="F10" i="2"/>
  <c r="E23" i="2"/>
  <c r="B23" i="2"/>
  <c r="F21" i="2"/>
  <c r="F13" i="2"/>
  <c r="C23" i="2"/>
  <c r="F19" i="2"/>
  <c r="F11" i="2"/>
  <c r="F18" i="2"/>
  <c r="F17" i="2"/>
  <c r="D23" i="2"/>
  <c r="O2" i="10"/>
  <c r="O4" i="10"/>
  <c r="O3" i="10"/>
  <c r="F2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096ED8-D407-4893-9F69-41022F945B78}" keepAlive="1" name="Query - fn_ValidatePO" description="Connection to the 'fn_ValidatePO' query in the workbook." type="5" refreshedVersion="0" background="1">
    <dbPr connection="Provider=Microsoft.Mashup.OleDb.1;Data Source=$Workbook$;Location=fn_ValidatePO;Extended Properties=&quot;&quot;" command="SELECT * FROM [fn_ValidatePO]"/>
  </connection>
  <connection id="2" xr16:uid="{1D090F5F-0DD8-4F57-8697-106647446CF7}" keepAlive="1" name="Query - q_CCP_Cleaned" description="Connection to the 'q_CCP_Cleaned' query in the workbook." type="5" refreshedVersion="0" background="1">
    <dbPr connection="Provider=Microsoft.Mashup.OleDb.1;Data Source=$Workbook$;Location=q_CCP_Cleaned;Extended Properties=&quot;&quot;" command="SELECT * FROM [q_CCP_Cleaned]"/>
  </connection>
  <connection id="3" xr16:uid="{D5427DC7-54C6-4D36-99CC-EF8864E58E28}" keepAlive="1" name="Query - q_CCP_Staging" description="Connection to the 'q_CCP_Staging' query in the workbook." type="5" refreshedVersion="0" background="1">
    <dbPr connection="Provider=Microsoft.Mashup.OleDb.1;Data Source=$Workbook$;Location=q_CCP_Staging;Extended Properties=&quot;&quot;" command="SELECT * FROM [q_CCP_Staging]"/>
  </connection>
  <connection id="4" xr16:uid="{043B4284-D4C5-4F21-B646-630A6D8D0AB1}" keepAlive="1" name="Query - q_Department_Cleaned" description="Connection to the 'q_Department_Cleaned' query in the workbook." type="5" refreshedVersion="0" background="1">
    <dbPr connection="Provider=Microsoft.Mashup.OleDb.1;Data Source=$Workbook$;Location=q_Department_Cleaned;Extended Properties=&quot;&quot;" command="SELECT * FROM [q_Department_Cleaned]"/>
  </connection>
  <connection id="5" xr16:uid="{FEF9303A-13E6-49DC-86AA-9E20249ED2EE}" keepAlive="1" name="Query - q_Legacy_Cleaned" description="Connection to the 'q_Legacy_Cleaned' query in the workbook." type="5" refreshedVersion="0" background="1">
    <dbPr connection="Provider=Microsoft.Mashup.OleDb.1;Data Source=$Workbook$;Location=q_Legacy_Cleaned;Extended Properties=&quot;&quot;" command="SELECT * FROM [q_Legacy_Cleaned]"/>
  </connection>
  <connection id="6" xr16:uid="{5FE217AD-1E1E-4243-9038-BB01F6FF4091}" keepAlive="1" name="Query - q_Legacy_Raw" description="Connection to the 'q_Legacy_Raw' query in the workbook." type="5" refreshedVersion="0" background="1">
    <dbPr connection="Provider=Microsoft.Mashup.OleDb.1;Data Source=$Workbook$;Location=q_Legacy_Raw;Extended Properties=&quot;&quot;" command="SELECT * FROM [q_Legacy_Raw]"/>
  </connection>
  <connection id="7" xr16:uid="{B38D6C69-ED41-4B73-BFC2-37EDC7FD7709}" keepAlive="1" name="Query - q_Pending_Cleaned" description="Connection to the 'q_Pending_Cleaned' query in the workbook." type="5" refreshedVersion="0" background="1">
    <dbPr connection="Provider=Microsoft.Mashup.OleDb.1;Data Source=$Workbook$;Location=q_Pending_Cleaned;Extended Properties=&quot;&quot;" command="SELECT * FROM [q_Pending_Cleaned]"/>
  </connection>
  <connection id="8" xr16:uid="{7208582D-F9F8-4B94-ADB2-4A253EBB81DE}" keepAlive="1" name="Query - q_Pending_Raw" description="Connection to the 'q_Pending_Raw' query in the workbook." type="5" refreshedVersion="0" background="1">
    <dbPr connection="Provider=Microsoft.Mashup.OleDb.1;Data Source=$Workbook$;Location=q_Pending_Raw;Extended Properties=&quot;&quot;" command="SELECT * FROM [q_Pending_Raw]"/>
  </connection>
  <connection id="9" xr16:uid="{2BB04A83-5E47-40D2-9A14-EFA8CB00BAD7}" keepAlive="1" name="Query - q_QA_Checks" description="Connection to the 'q_QA_Checks' query in the workbook." type="5" refreshedVersion="8" background="1" saveData="1">
    <dbPr connection="Provider=Microsoft.Mashup.OleDb.1;Data Source=$Workbook$;Location=q_QA_Checks;Extended Properties=&quot;&quot;" command="SELECT * FROM [q_QA_Checks]"/>
  </connection>
  <connection id="10" xr16:uid="{E2FAF623-5A35-4B08-9BEC-E8E0527EBDB4}" keepAlive="1" name="Query - q_Unified_Master" description="Connection to the 'q_Unified_Master' query in the workbook." type="5" refreshedVersion="8" background="1" saveData="1">
    <dbPr connection="Provider=Microsoft.Mashup.OleDb.1;Data Source=$Workbook$;Location=q_Unified_Master;Extended Properties=&quot;&quot;" command="SELECT * FROM [q_Unified_Maste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<sst xmlns="http://schemas.openxmlformats.org/spreadsheetml/2006/main" count="506" uniqueCount="261">
  <si>
    <t>NTPC CBCMP PO CONSOLIDATION &amp; ANALYTICS PORTAL</t>
  </si>
  <si>
    <t>IMPORTANT: Do not manually edit Power Query output tables. Use the Manual PO input sheets for additions, overrides and exclusions. After making changes, use Data → Refresh All.</t>
  </si>
  <si>
    <t>1. USER INPUT / MAINTENANCE (Editable Sheets)</t>
  </si>
  <si>
    <t>Manual_PO_Additions</t>
  </si>
  <si>
    <t>Add new valid POs that do not exist in original source files</t>
  </si>
  <si>
    <t>Manual_PO_Overrides</t>
  </si>
  <si>
    <t>Override specific fields for existing Master POs with documented reasons</t>
  </si>
  <si>
    <t>Manual_PO_Exclusions</t>
  </si>
  <si>
    <t>Exclude specific POs from the final Master output (set Active = Yes/No)</t>
  </si>
  <si>
    <t>2. AUTOMATED OUTPUTS &amp; ANALYTICS (Power Query Driven)</t>
  </si>
  <si>
    <t>Executive_Dashboard</t>
  </si>
  <si>
    <t>Executive KPI Summary, Contract Closing Metrics &amp; Status Charts</t>
  </si>
  <si>
    <t>Automated 14-item dynamic validation &amp; quality control table</t>
  </si>
  <si>
    <t>NTPC CBCMP — EXECUTIVE CONTRACT CLOSING DASHBOARD</t>
  </si>
  <si>
    <t>TOTAL POs</t>
  </si>
  <si>
    <t>NOT CLOSED POs</t>
  </si>
  <si>
    <t>CLOSED POs</t>
  </si>
  <si>
    <t>TOTAL PO VALUE (INR)</t>
  </si>
  <si>
    <t>STATUS CONFLICTS</t>
  </si>
  <si>
    <t>Departmental Contract Closing Summary</t>
  </si>
  <si>
    <t>Department</t>
  </si>
  <si>
    <t>Total POs</t>
  </si>
  <si>
    <t>Not Closed</t>
  </si>
  <si>
    <t>Closed</t>
  </si>
  <si>
    <t>Total Value (INR)</t>
  </si>
  <si>
    <t>Closure %</t>
  </si>
  <si>
    <t>C&amp;M</t>
  </si>
  <si>
    <t>CSR</t>
  </si>
  <si>
    <t>Civil</t>
  </si>
  <si>
    <t>Dispatch</t>
  </si>
  <si>
    <t>EED</t>
  </si>
  <si>
    <t>FQA</t>
  </si>
  <si>
    <t>HR</t>
  </si>
  <si>
    <t>IT</t>
  </si>
  <si>
    <t>LA R&amp;R</t>
  </si>
  <si>
    <t>Mining</t>
  </si>
  <si>
    <t>P&amp;S</t>
  </si>
  <si>
    <t>TOTAL</t>
  </si>
  <si>
    <t>PO No.</t>
  </si>
  <si>
    <t>Legacy PO Number</t>
  </si>
  <si>
    <t>PO Desc.</t>
  </si>
  <si>
    <t>PO Value</t>
  </si>
  <si>
    <t>Creation Dt</t>
  </si>
  <si>
    <t>Expiry Dt</t>
  </si>
  <si>
    <t>PO Vendor</t>
  </si>
  <si>
    <t>Vendor Description</t>
  </si>
  <si>
    <t>EIC</t>
  </si>
  <si>
    <t>PO_Status</t>
  </si>
  <si>
    <t>Status of CCP/CCC</t>
  </si>
  <si>
    <t>Status</t>
  </si>
  <si>
    <t>Present CCP Status</t>
  </si>
  <si>
    <t>Final Dev. Status</t>
  </si>
  <si>
    <t>Data Source(s)</t>
  </si>
  <si>
    <t>Data Conflict</t>
  </si>
  <si>
    <t>No</t>
  </si>
  <si>
    <t>Pending</t>
  </si>
  <si>
    <t>Closed Date</t>
  </si>
  <si>
    <t>Remarks</t>
  </si>
  <si>
    <t>Medical</t>
  </si>
  <si>
    <t>QA Check Description</t>
  </si>
  <si>
    <t>Actual Result</t>
  </si>
  <si>
    <t>QA Status</t>
  </si>
  <si>
    <t>1. ERP Unique Legacy POs</t>
  </si>
  <si>
    <t>2. CCP Unique POs</t>
  </si>
  <si>
    <t>3. Pending Unique POs</t>
  </si>
  <si>
    <t>4. Department Unique POs</t>
  </si>
  <si>
    <t>5. Master Unique POs</t>
  </si>
  <si>
    <t>6. Duplicate Master POs</t>
  </si>
  <si>
    <t>7. ERP Relationship Review</t>
  </si>
  <si>
    <t>REVIEW</t>
  </si>
  <si>
    <t>8. CCP Missing from Master</t>
  </si>
  <si>
    <t>9. Pending Missing from Master</t>
  </si>
  <si>
    <t>10. Status Conflicts</t>
  </si>
  <si>
    <t>11. Date Conflicts / Review</t>
  </si>
  <si>
    <t>12. Alignment Reviews</t>
  </si>
  <si>
    <t>13. Traceability Issues</t>
  </si>
  <si>
    <t>14. Non-PO Records in Master</t>
  </si>
  <si>
    <t>PO Status</t>
  </si>
  <si>
    <t>Added Date</t>
  </si>
  <si>
    <t>Validation Status</t>
  </si>
  <si>
    <t>Field to Override</t>
  </si>
  <si>
    <t>Manual Value</t>
  </si>
  <si>
    <t>Reason</t>
  </si>
  <si>
    <t>Source/Reference</t>
  </si>
  <si>
    <t>Updated By</t>
  </si>
  <si>
    <t>Update Date</t>
  </si>
  <si>
    <t>Active</t>
  </si>
  <si>
    <t>Yes</t>
  </si>
  <si>
    <t>Excluded By</t>
  </si>
  <si>
    <t>Exclusion Date</t>
  </si>
  <si>
    <t>Setting</t>
  </si>
  <si>
    <t>Value</t>
  </si>
  <si>
    <t>Source Folder</t>
  </si>
  <si>
    <t>Legacy PO File</t>
  </si>
  <si>
    <t>CCP File</t>
  </si>
  <si>
    <t>Pending File</t>
  </si>
  <si>
    <t>Pending Ordering Plant</t>
  </si>
  <si>
    <t>Pending Delivery Plant</t>
  </si>
  <si>
    <t>Pending Remarks</t>
  </si>
  <si>
    <t>Notes</t>
  </si>
  <si>
    <t>PASS</t>
  </si>
  <si>
    <t>Distinct valid Legacy PO numbers</t>
  </si>
  <si>
    <t>Distinct valid CCP PO numbers</t>
  </si>
  <si>
    <t>Distinct valid Pending PO numbers</t>
  </si>
  <si>
    <t>Distinct valid Department PO numbers</t>
  </si>
  <si>
    <t>Current unique PO population in Unified Master</t>
  </si>
  <si>
    <t>Unified Master must contain one row per PO</t>
  </si>
  <si>
    <t>Legacy-to-SAP/ERP relationships require explicit evidence; direct PO equality is not assumed</t>
  </si>
  <si>
    <t>Current CCP PO not found in current Unified Master</t>
  </si>
  <si>
    <t>Current Pending PO not found in current Unified Master</t>
  </si>
  <si>
    <t>Known source-level status conflicts are retained and flagged</t>
  </si>
  <si>
    <t>Dates are preserved from source; detailed cross-source date comparison requires separate review</t>
  </si>
  <si>
    <t>Department source layouts require structural validation</t>
  </si>
  <si>
    <t>Source-to-record traceability requires relationship-level validation</t>
  </si>
  <si>
    <t>Unified Master must contain only valid 10-digit PO numbers</t>
  </si>
  <si>
    <t>Data Governance &amp; QA Integration Summary</t>
  </si>
  <si>
    <t>QA Metric / Requirement</t>
  </si>
  <si>
    <t>Actual Value</t>
  </si>
  <si>
    <t>Master Unique POs</t>
  </si>
  <si>
    <t>Duplicate Master POs</t>
  </si>
  <si>
    <t>Non-PO Master Records</t>
  </si>
  <si>
    <t>CCP Unique POs</t>
  </si>
  <si>
    <t>Pending Unique POs</t>
  </si>
  <si>
    <t>Department Unique POs</t>
  </si>
  <si>
    <t>ERP Unique Legacy POs</t>
  </si>
  <si>
    <t>CCP Missing from Master</t>
  </si>
  <si>
    <t>Pending Missing from Master</t>
  </si>
  <si>
    <t>Status Conflicts Count</t>
  </si>
  <si>
    <t>Flagged Status Conflict PO</t>
  </si>
  <si>
    <t>ERP Relationship Review</t>
  </si>
  <si>
    <t>Unassigned</t>
  </si>
  <si>
    <t>Overall System Integrity</t>
  </si>
  <si>
    <t>Pending Status</t>
  </si>
  <si>
    <t>q_QA_Checks</t>
  </si>
  <si>
    <t xml:space="preserve"> </t>
  </si>
  <si>
    <t>C:\Users\ASUS\Desktop\potfolio\ntpc_cbcmp_github\portfolio_data\</t>
  </si>
  <si>
    <t>Legacy_PO_Source.xlsx</t>
  </si>
  <si>
    <t>CCP_Status_Source.xlsx</t>
  </si>
  <si>
    <t>Pending_Closing_Source.xlsx</t>
  </si>
  <si>
    <t>4100001001</t>
  </si>
  <si>
    <t>Construction support services</t>
  </si>
  <si>
    <t>Alpha Infrastructure Services</t>
  </si>
  <si>
    <t>EIC-SYN-001</t>
  </si>
  <si>
    <t>Under Review</t>
  </si>
  <si>
    <t>Open</t>
  </si>
  <si>
    <t>Under Development</t>
  </si>
  <si>
    <t>Synthetic portfolio record</t>
  </si>
  <si>
    <t>4100001002</t>
  </si>
  <si>
    <t>Equipment maintenance service</t>
  </si>
  <si>
    <t>Beta Industrial Solutions</t>
  </si>
  <si>
    <t>EIC-SYN-002</t>
  </si>
  <si>
    <t>4100001003</t>
  </si>
  <si>
    <t>Technical consultancy services</t>
  </si>
  <si>
    <t>Gamma Technical Services</t>
  </si>
  <si>
    <t>EIC-SYN-003</t>
  </si>
  <si>
    <t>4100001004</t>
  </si>
  <si>
    <t>Facility management service</t>
  </si>
  <si>
    <t>Delta Facility Solutions</t>
  </si>
  <si>
    <t>EIC-SYN-004</t>
  </si>
  <si>
    <t>4100001005</t>
  </si>
  <si>
    <t>Engineering support services</t>
  </si>
  <si>
    <t>Epsilon Engineering Works</t>
  </si>
  <si>
    <t>EIC-SYN-005</t>
  </si>
  <si>
    <t>4100002001</t>
  </si>
  <si>
    <t>Operations support service</t>
  </si>
  <si>
    <t>Zeta Operations Services</t>
  </si>
  <si>
    <t>EIC-SYN-006</t>
  </si>
  <si>
    <t>4100002002</t>
  </si>
  <si>
    <t>Equipment servicing contract</t>
  </si>
  <si>
    <t>Eta Equipment Services</t>
  </si>
  <si>
    <t>EIC-SYN-007</t>
  </si>
  <si>
    <t>4100002003</t>
  </si>
  <si>
    <t>Logistics support service</t>
  </si>
  <si>
    <t>Theta Logistics Solutions</t>
  </si>
  <si>
    <t>EIC-SYN-008</t>
  </si>
  <si>
    <t>4100002004</t>
  </si>
  <si>
    <t>Technical maintenance contract</t>
  </si>
  <si>
    <t>Iota Technical Works</t>
  </si>
  <si>
    <t>EIC-SYN-009</t>
  </si>
  <si>
    <t>4100002005</t>
  </si>
  <si>
    <t>Project support services</t>
  </si>
  <si>
    <t>Kappa Project Services</t>
  </si>
  <si>
    <t>EIC-SYN-010</t>
  </si>
  <si>
    <t>4100004001</t>
  </si>
  <si>
    <t>Completed infrastructure service</t>
  </si>
  <si>
    <t>Alpha Maintenance Co</t>
  </si>
  <si>
    <t>EIC-SYN-021</t>
  </si>
  <si>
    <t>Completed</t>
  </si>
  <si>
    <t>Synthetic closed record</t>
  </si>
  <si>
    <t>4100004002</t>
  </si>
  <si>
    <t>Completed equipment service</t>
  </si>
  <si>
    <t>Beta Equipment Co</t>
  </si>
  <si>
    <t>EIC-SYN-022</t>
  </si>
  <si>
    <t>4100004003</t>
  </si>
  <si>
    <t>Completed consultancy service</t>
  </si>
  <si>
    <t>Gamma Advisory Co</t>
  </si>
  <si>
    <t>EIC-SYN-023</t>
  </si>
  <si>
    <t>4100004004</t>
  </si>
  <si>
    <t>Completed facility service</t>
  </si>
  <si>
    <t>Delta Facility Co</t>
  </si>
  <si>
    <t>EIC-SYN-024</t>
  </si>
  <si>
    <t>4100004005</t>
  </si>
  <si>
    <t>Completed technical service</t>
  </si>
  <si>
    <t>Epsilon Technology Co</t>
  </si>
  <si>
    <t>EIC-SYN-025</t>
  </si>
  <si>
    <t>4100003001</t>
  </si>
  <si>
    <t>Mining equipment support</t>
  </si>
  <si>
    <t>Lambda Mining Services</t>
  </si>
  <si>
    <t>EIC-SYN-011</t>
  </si>
  <si>
    <t>Pending synthetic record</t>
  </si>
  <si>
    <t>PLANT-SYN-A</t>
  </si>
  <si>
    <t>PLANT-SYN-B</t>
  </si>
  <si>
    <t>4100003002</t>
  </si>
  <si>
    <t>Industrial maintenance support</t>
  </si>
  <si>
    <t>Mu Industrial Works</t>
  </si>
  <si>
    <t>EIC-SYN-012</t>
  </si>
  <si>
    <t>PLANT-SYN-C</t>
  </si>
  <si>
    <t>4100003003</t>
  </si>
  <si>
    <t>Technical service contract</t>
  </si>
  <si>
    <t>Nu Technical Services</t>
  </si>
  <si>
    <t>EIC-SYN-013</t>
  </si>
  <si>
    <t>4100003004</t>
  </si>
  <si>
    <t>Facility support services</t>
  </si>
  <si>
    <t>Xi Facility Solutions</t>
  </si>
  <si>
    <t>EIC-SYN-014</t>
  </si>
  <si>
    <t>PLANT-SYN-D</t>
  </si>
  <si>
    <t>4100003005</t>
  </si>
  <si>
    <t>Engineering consultancy</t>
  </si>
  <si>
    <t>Omicron Engineering</t>
  </si>
  <si>
    <t>EIC-SYN-015</t>
  </si>
  <si>
    <t>4100003006</t>
  </si>
  <si>
    <t>Logistics support contract</t>
  </si>
  <si>
    <t>Pi Logistics Services</t>
  </si>
  <si>
    <t>EIC-SYN-016</t>
  </si>
  <si>
    <t>PLANT-SYN-E</t>
  </si>
  <si>
    <t>4100003007</t>
  </si>
  <si>
    <t>Electrical maintenance service</t>
  </si>
  <si>
    <t>Rho Electrical Works</t>
  </si>
  <si>
    <t>EIC-SYN-017</t>
  </si>
  <si>
    <t>4100003008</t>
  </si>
  <si>
    <t>Administrative support service</t>
  </si>
  <si>
    <t>Sigma Admin Services</t>
  </si>
  <si>
    <t>EIC-SYN-018</t>
  </si>
  <si>
    <t>PLANT-SYN-F</t>
  </si>
  <si>
    <t>4100003009</t>
  </si>
  <si>
    <t>Equipment inspection service</t>
  </si>
  <si>
    <t>Tau Inspection Services</t>
  </si>
  <si>
    <t>EIC-SYN-019</t>
  </si>
  <si>
    <t>4100003010</t>
  </si>
  <si>
    <t>Project management support</t>
  </si>
  <si>
    <t>Upsilon Project Services</t>
  </si>
  <si>
    <t>EIC-SYN-020</t>
  </si>
  <si>
    <t>PLANT-SYN-G</t>
  </si>
  <si>
    <t>Portfolio Demonstration</t>
  </si>
  <si>
    <t>Synthetic Reference</t>
  </si>
  <si>
    <t>Portfolio Admin</t>
  </si>
  <si>
    <t>Portfolio Test</t>
  </si>
  <si>
    <t>Admin</t>
  </si>
  <si>
    <t>Synthetic Test</t>
  </si>
  <si>
    <t>q_Unified_Master</t>
  </si>
  <si>
    <t>Active consolidated PO master generated by Power Query from source data and control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</si>
</sst>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2060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9"/>
      <color rgb="FF555555"/>
      <name val="Segoe UI"/>
      <family val="2"/>
    </font>
    <font>
      <b/>
      <sz val="16"/>
      <color rgb="FF794E1F"/>
      <name val="Segoe UI"/>
      <family val="2"/>
    </font>
    <font>
      <b/>
      <sz val="16"/>
      <color rgb="FFC00000"/>
      <name val="Segoe UI"/>
      <family val="2"/>
    </font>
    <font>
      <b/>
      <sz val="11"/>
      <color rgb="FF794E1F"/>
      <name val="Segoe UI"/>
      <family val="2"/>
    </font>
    <font>
      <b/>
      <sz val="10"/>
      <color rgb="FFFFFFFF"/>
      <name val="Segoe UI"/>
      <family val="2"/>
    </font>
    <font>
      <sz val="9.5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11"/>
      <color rgb="FFFFFFFF"/>
      <name val="Calibri"/>
      <family val="2"/>
      <scheme val="minor"/>
    </font>
    <font>
      <b/>
      <sz val="10"/>
      <color theme="1"/>
      <name val="Segoe UI"/>
      <family val="2"/>
    </font>
    <font>
      <sz val="11"/>
      <color rgb="FF747474"/>
      <name val="Calibri"/>
      <family val="2"/>
      <scheme val="minor"/>
    </font>
    <font>
      <b/>
      <sz val="9"/>
      <color rgb="FF794E1F"/>
      <name val="Segoe U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FFFFFF"/>
      <name val="Calibri"/>
      <scheme val="minor"/>
    </font>
    <font>
      <b/>
      <sz val="11"/>
      <color rgb="FF002060"/>
      <name val="Calibri"/>
      <family val="2"/>
    </font>
    <font>
      <i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  <bgColor rgb="FF1F4E79"/>
      </patternFill>
    </fill>
    <fill>
      <patternFill patternType="solid">
        <fgColor rgb="FF1F4E79"/>
        <bgColor indexed="64"/>
      </patternFill>
    </fill>
    <fill>
      <patternFill patternType="solid">
        <fgColor rgb="FFF7F6F4"/>
        <bgColor indexed="64"/>
      </patternFill>
    </fill>
    <fill>
      <patternFill patternType="solid">
        <fgColor rgb="FFF5F8E8"/>
        <bgColor indexed="64"/>
      </patternFill>
    </fill>
    <fill>
      <patternFill patternType="solid">
        <fgColor rgb="FFECEDFD"/>
        <bgColor indexed="64"/>
      </patternFill>
    </fill>
    <fill>
      <patternFill patternType="solid">
        <fgColor rgb="FFFBF5EB"/>
        <bgColor indexed="64"/>
      </patternFill>
    </fill>
    <fill>
      <patternFill patternType="solid">
        <fgColor rgb="FFF2E1D9"/>
        <bgColor indexed="64"/>
      </patternFill>
    </fill>
  </fills>
  <borders count="8">
    <border>
      <left/>
      <right/>
      <top/>
      <bottom/>
      <diagonal/>
    </border>
    <border>
      <left style="thin">
        <color rgb="FF534626"/>
      </left>
      <right style="thin">
        <color rgb="FF534626"/>
      </right>
      <top style="thin">
        <color rgb="FF534626"/>
      </top>
      <bottom style="thin">
        <color rgb="FF534626"/>
      </bottom>
      <diagonal/>
    </border>
    <border>
      <left style="thin">
        <color rgb="FF8F9D2A"/>
      </left>
      <right style="thin">
        <color rgb="FF8F9D2A"/>
      </right>
      <top style="thin">
        <color rgb="FF8F9D2A"/>
      </top>
      <bottom style="thin">
        <color rgb="FF8F9D2A"/>
      </bottom>
      <diagonal/>
    </border>
    <border>
      <left style="thin">
        <color rgb="FF516FE7"/>
      </left>
      <right style="thin">
        <color rgb="FF516FE7"/>
      </right>
      <top style="thin">
        <color rgb="FF516FE7"/>
      </top>
      <bottom style="thin">
        <color rgb="FF516FE7"/>
      </bottom>
      <diagonal/>
    </border>
    <border>
      <left style="thin">
        <color rgb="FF794E1F"/>
      </left>
      <right style="thin">
        <color rgb="FF794E1F"/>
      </right>
      <top style="thin">
        <color rgb="FF794E1F"/>
      </top>
      <bottom style="thin">
        <color rgb="FF794E1F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4" borderId="0" xfId="0" applyFont="1" applyFill="1" applyAlignment="1">
      <alignment vertical="center"/>
    </xf>
    <xf numFmtId="0" fontId="12" fillId="0" borderId="6" xfId="0" applyFont="1" applyBorder="1"/>
    <xf numFmtId="3" fontId="12" fillId="0" borderId="6" xfId="0" applyNumberFormat="1" applyFont="1" applyBorder="1" applyAlignment="1">
      <alignment horizontal="center"/>
    </xf>
    <xf numFmtId="164" fontId="12" fillId="0" borderId="6" xfId="0" applyNumberFormat="1" applyFont="1" applyBorder="1" applyAlignment="1">
      <alignment horizontal="right"/>
    </xf>
    <xf numFmtId="165" fontId="12" fillId="0" borderId="6" xfId="0" applyNumberFormat="1" applyFont="1" applyBorder="1" applyAlignment="1">
      <alignment horizontal="center"/>
    </xf>
    <xf numFmtId="0" fontId="13" fillId="0" borderId="6" xfId="0" applyFont="1" applyBorder="1"/>
    <xf numFmtId="3" fontId="13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0" borderId="0" xfId="0" applyFont="1"/>
    <xf numFmtId="0" fontId="16" fillId="9" borderId="7" xfId="0" applyFont="1" applyFill="1" applyBorder="1"/>
    <xf numFmtId="3" fontId="16" fillId="9" borderId="7" xfId="0" applyNumberFormat="1" applyFont="1" applyFill="1" applyBorder="1" applyAlignment="1">
      <alignment horizontal="center"/>
    </xf>
    <xf numFmtId="164" fontId="16" fillId="9" borderId="7" xfId="0" applyNumberFormat="1" applyFont="1" applyFill="1" applyBorder="1" applyAlignment="1">
      <alignment horizontal="right"/>
    </xf>
    <xf numFmtId="165" fontId="16" fillId="9" borderId="7" xfId="0" applyNumberFormat="1" applyFont="1" applyFill="1" applyBorder="1" applyAlignment="1">
      <alignment horizontal="center"/>
    </xf>
    <xf numFmtId="3" fontId="17" fillId="0" borderId="0" xfId="0" applyNumberFormat="1" applyFont="1"/>
    <xf numFmtId="0" fontId="17" fillId="0" borderId="0" xfId="0" applyFont="1"/>
    <xf numFmtId="0" fontId="10" fillId="9" borderId="0" xfId="0" applyFont="1" applyFill="1" applyAlignment="1">
      <alignment vertical="center"/>
    </xf>
    <xf numFmtId="2" fontId="0" fillId="0" borderId="0" xfId="0" applyNumberFormat="1"/>
    <xf numFmtId="0" fontId="0" fillId="0" borderId="0" xfId="0" applyAlignment="1">
      <alignment wrapText="1"/>
    </xf>
    <xf numFmtId="0" fontId="19" fillId="3" borderId="0" xfId="0" applyFont="1" applyFill="1" applyAlignment="1">
      <alignment horizontal="center" vertical="center"/>
    </xf>
    <xf numFmtId="0" fontId="21" fillId="0" borderId="0" xfId="0" applyFont="1"/>
    <xf numFmtId="14" fontId="0" fillId="0" borderId="0" xfId="0" applyNumberFormat="1" applyAlignment="1">
      <alignment vertical="center" wrapText="1"/>
    </xf>
    <xf numFmtId="0" fontId="1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0" borderId="0" xfId="0" applyFont="1" applyAlignment="1">
      <alignment vertical="center" wrapText="1"/>
    </xf>
    <xf numFmtId="15" fontId="21" fillId="0" borderId="0" xfId="0" applyNumberFormat="1" applyFont="1" applyAlignment="1">
      <alignment vertical="center" wrapText="1"/>
    </xf>
    <xf numFmtId="0" fontId="23" fillId="0" borderId="0" xfId="0" applyFont="1"/>
    <xf numFmtId="0" fontId="24" fillId="0" borderId="0" xfId="0" applyFont="1"/>
    <xf numFmtId="0" fontId="6" fillId="4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3" fontId="8" fillId="5" borderId="1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 vertical="center"/>
    </xf>
    <xf numFmtId="3" fontId="8" fillId="7" borderId="3" xfId="0" applyNumberFormat="1" applyFont="1" applyFill="1" applyBorder="1" applyAlignment="1">
      <alignment horizontal="center" vertical="center"/>
    </xf>
    <xf numFmtId="164" fontId="8" fillId="8" borderId="4" xfId="0" applyNumberFormat="1" applyFont="1" applyFill="1" applyBorder="1" applyAlignment="1">
      <alignment horizontal="center" vertical="center"/>
    </xf>
    <xf numFmtId="3" fontId="9" fillId="7" borderId="5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43">
    <dxf>
      <numFmt numFmtId="19" formatCode="m/d/yyyy"/>
    </dxf>
    <dxf>
      <numFmt numFmtId="19" formatCode="m/d/yyyy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</dxf>
    <dxf>
      <font>
        <sz val="10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z val="10"/>
        <name val="Arial Unicode MS"/>
        <scheme val="none"/>
      </font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z val="10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1F4E79"/>
          <bgColor rgb="FF1F4E79"/>
        </patternFill>
      </fill>
      <alignment horizontal="center" vertical="center" wrapText="1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 Status Breakdown</a:t>
            </a:r>
            <a:br>
              <a:rPr lang="en-US"/>
            </a:br>
            <a:r>
              <a:rPr lang="en-US"/>
              <a:t>(Closed vs Not Closed)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453209024767669"/>
          <c:y val="0.39106709916416504"/>
          <c:w val="0.2644147494592492"/>
          <c:h val="0.5496313982165476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7B-4446-B26A-8258ACBEE3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7B-4446-B26A-8258ACBEE3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7B-4446-B26A-8258ACBEE3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47B-4446-B26A-8258ACBEE3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Executive_Dashboard!$C$4:$F$4</c:f>
              <c:strCache>
                <c:ptCount val="3"/>
                <c:pt idx="0">
                  <c:v>NOT CLOSED POs</c:v>
                </c:pt>
                <c:pt idx="2">
                  <c:v>CLOSED POs</c:v>
                </c:pt>
              </c:strCache>
            </c:strRef>
          </c:cat>
          <c:val>
            <c:numRef>
              <c:f>Executive_Dashboard!$C$5:$F$5</c:f>
              <c:numCache>
                <c:formatCode>#,##0</c:formatCode>
                <c:ptCount val="4"/>
                <c:pt idx="0">
                  <c:v>19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7B-4446-B26A-8258ACBEE3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6011952089050761"/>
          <c:y val="0.25989035912960845"/>
          <c:w val="0.47976095821898485"/>
          <c:h val="9.5216684889792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</a:t>
            </a:r>
            <a:r>
              <a:rPr lang="en-US" baseline="0"/>
              <a:t> PO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Executive_Dashboard!$A$10:$A$22</c:f>
              <c:strCache>
                <c:ptCount val="13"/>
                <c:pt idx="0">
                  <c:v>C&amp;M</c:v>
                </c:pt>
                <c:pt idx="1">
                  <c:v>Medical</c:v>
                </c:pt>
                <c:pt idx="2">
                  <c:v>CSR</c:v>
                </c:pt>
                <c:pt idx="3">
                  <c:v>Civil</c:v>
                </c:pt>
                <c:pt idx="4">
                  <c:v>Dispatch</c:v>
                </c:pt>
                <c:pt idx="5">
                  <c:v>EED</c:v>
                </c:pt>
                <c:pt idx="6">
                  <c:v>FQA</c:v>
                </c:pt>
                <c:pt idx="7">
                  <c:v>HR</c:v>
                </c:pt>
                <c:pt idx="8">
                  <c:v>IT</c:v>
                </c:pt>
                <c:pt idx="9">
                  <c:v>LA R&amp;R</c:v>
                </c:pt>
                <c:pt idx="10">
                  <c:v>Mining</c:v>
                </c:pt>
                <c:pt idx="11">
                  <c:v>P&amp;S</c:v>
                </c:pt>
                <c:pt idx="12">
                  <c:v>Unassigned</c:v>
                </c:pt>
              </c:strCache>
            </c:strRef>
          </c:cat>
          <c:val>
            <c:numRef>
              <c:f>Executive_Dashboard!$B$10:$B$22</c:f>
              <c:numCache>
                <c:formatCode>#,##0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7-4ADE-B27C-FE8B4A038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9831375"/>
        <c:axId val="549832815"/>
      </c:barChart>
      <c:catAx>
        <c:axId val="54983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2815"/>
        <c:crosses val="autoZero"/>
        <c:auto val="1"/>
        <c:lblAlgn val="ctr"/>
        <c:lblOffset val="100"/>
        <c:noMultiLvlLbl val="0"/>
      </c:catAx>
      <c:valAx>
        <c:axId val="54983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18</xdr:col>
      <xdr:colOff>0</xdr:colOff>
      <xdr:row>11</xdr:row>
      <xdr:rowOff>18143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E31B6AD-9226-402C-98FA-3D74C312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199571</xdr:rowOff>
    </xdr:from>
    <xdr:to>
      <xdr:col>17</xdr:col>
      <xdr:colOff>598714</xdr:colOff>
      <xdr:row>23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E37439-7489-4DB3-B859-1E1238B91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3F528DC-FBD8-4EBA-B5EC-E4B13B9F385E}" autoFormatId="16" applyNumberFormats="0" applyBorderFormats="0" applyFontFormats="0" applyPatternFormats="0" applyAlignmentFormats="0" applyWidthHeightFormats="0">
  <queryTableRefresh nextId="152">
    <queryTableFields count="25">
      <queryTableField id="1" name="PO No." tableColumnId="1"/>
      <queryTableField id="23" name="Legacy PO Number" tableColumnId="23"/>
      <queryTableField id="2" name="Department" tableColumnId="2"/>
      <queryTableField id="3" name="PO Desc." tableColumnId="3"/>
      <queryTableField id="4" name="PO Value" tableColumnId="4"/>
      <queryTableField id="5" name="Creation Dt" tableColumnId="5"/>
      <queryTableField id="6" name="Expiry Dt" tableColumnId="6"/>
      <queryTableField id="7" name="PO Vendor" tableColumnId="7"/>
      <queryTableField id="8" name="Vendor Description" tableColumnId="8"/>
      <queryTableField id="9" name="EIC" tableColumnId="9"/>
      <queryTableField id="31" name="PO_Status" tableColumnId="31"/>
      <queryTableField id="11" name="Status" tableColumnId="11"/>
      <queryTableField id="15" name="Present CCP Status" tableColumnId="15"/>
      <queryTableField id="10" name="Status of CCP/CCC" tableColumnId="10"/>
      <queryTableField id="14" name="Final Dev. Status" tableColumnId="14"/>
      <queryTableField id="12" name="Closed Date" tableColumnId="12"/>
      <queryTableField id="13" name="Remarks" tableColumnId="13"/>
      <queryTableField id="24" name="Data Source(s)" tableColumnId="24"/>
      <queryTableField id="30" name="Data Conflict" tableColumnId="30"/>
      <queryTableField id="26" name="Validation Status" tableColumnId="26"/>
      <queryTableField id="25" name="Added Date" tableColumnId="25"/>
      <queryTableField id="27" name="Pending Ordering Plant" tableColumnId="27"/>
      <queryTableField id="28" name="Pending Delivery Plant" tableColumnId="28"/>
      <queryTableField id="32" name="Pending Status" tableColumnId="32"/>
      <queryTableField id="29" name="Pending Remarks" tableColumnId="29"/>
    </queryTableFields>
    <queryTableDeletedFields count="7">
      <deletedField name="Creation Date"/>
      <deletedField name="Expiry Date"/>
      <deletedField name="Vendor"/>
      <deletedField name="Description"/>
      <deletedField name="PO Status"/>
      <deletedField name="Vendor Code"/>
      <deletedField name="PO Closed (Enter 1 if yes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B28343E-1012-4DDA-9651-8C90A18572D1}" autoFormatId="16" applyNumberFormats="0" applyBorderFormats="0" applyFontFormats="0" applyPatternFormats="0" applyAlignmentFormats="0" applyWidthHeightFormats="0">
  <queryTableRefresh nextId="5">
    <queryTableFields count="4">
      <queryTableField id="1" name="QA Check Description" tableColumnId="1"/>
      <queryTableField id="2" name="Actual Result" tableColumnId="2"/>
      <queryTableField id="3" name="QA Status" tableColumnId="3"/>
      <queryTableField id="4" name="Not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216585-AFEA-4B79-8A74-DF217146FFC1}" name="q_Unified_Master" displayName="q_Unified_Master" ref="A1:Y26" tableType="queryTable">
  <autoFilter ref="A1:Y26" xr:uid="{AF216585-AFEA-4B79-8A74-DF217146FFC1}"/>
  <tableColumns count="25">
    <tableColumn id="1" xr3:uid="{21B1F79D-49A7-42CB-83F0-77E12A928FCA}" uniqueName="1" name="PO No." totalsRowLabel="Total" queryTableFieldId="1" dataDxfId="42"/>
    <tableColumn id="23" xr3:uid="{F6762C25-EBB0-4411-AD8D-BB7B59C7844F}" uniqueName="23" name="Legacy PO Number" queryTableFieldId="23"/>
    <tableColumn id="2" xr3:uid="{60BF9BAE-73D4-45AE-80FA-282623CD63D9}" uniqueName="2" name="Department" queryTableFieldId="2"/>
    <tableColumn id="3" xr3:uid="{EA7508C4-A46B-41EE-B74A-ED0922F127C2}" uniqueName="3" name="PO Desc." queryTableFieldId="3" dataDxfId="41"/>
    <tableColumn id="4" xr3:uid="{1072684A-50F0-441E-8588-8F816C15E35F}" uniqueName="4" name="PO Value" queryTableFieldId="4" dataDxfId="2"/>
    <tableColumn id="5" xr3:uid="{E8BFDB45-E63F-4BA6-BE31-7CD06D82FDD7}" uniqueName="5" name="Creation Dt" queryTableFieldId="5" dataDxfId="1"/>
    <tableColumn id="6" xr3:uid="{5CA21AE4-4FA7-4214-96CA-5A0A01338360}" uniqueName="6" name="Expiry Dt" queryTableFieldId="6" dataDxfId="0"/>
    <tableColumn id="7" xr3:uid="{360305F4-E424-41F6-931F-7FB707684D1D}" uniqueName="7" name="PO Vendor" queryTableFieldId="7"/>
    <tableColumn id="8" xr3:uid="{6C693147-E6D1-49D8-B98C-923C73578FCD}" uniqueName="8" name="Vendor Description" queryTableFieldId="8"/>
    <tableColumn id="9" xr3:uid="{AC05724B-06F3-4FEC-A73E-F5CD2DA31163}" uniqueName="9" name="EIC" queryTableFieldId="9"/>
    <tableColumn id="31" xr3:uid="{EA34D2F6-08E8-41CC-A44A-DBAC379FBBAF}" uniqueName="31" name="PO_Status" queryTableFieldId="31" dataDxfId="40"/>
    <tableColumn id="11" xr3:uid="{D43E1A09-6DF3-4652-AE84-7C333A1FFB59}" uniqueName="11" name="Status" queryTableFieldId="11"/>
    <tableColumn id="15" xr3:uid="{105542BC-EA52-4E3B-8E3C-8899133D666C}" uniqueName="15" name="Present CCP Status" queryTableFieldId="15"/>
    <tableColumn id="10" xr3:uid="{F7D4CAFD-9DB7-484A-8A7C-7489BEDE2AB4}" uniqueName="10" name="Status of CCP/CCC" queryTableFieldId="10"/>
    <tableColumn id="14" xr3:uid="{A3A5368A-69E1-404B-9B35-79E06DF258A2}" uniqueName="14" name="Final Dev. Status" queryTableFieldId="14"/>
    <tableColumn id="12" xr3:uid="{150D60CB-3C0F-45FF-9C41-FBA9775CFFB3}" uniqueName="12" name="Closed Date" queryTableFieldId="12"/>
    <tableColumn id="13" xr3:uid="{522064F3-FC56-491F-BB22-ECC19C057CAE}" uniqueName="13" name="Remarks" queryTableFieldId="13"/>
    <tableColumn id="24" xr3:uid="{A01A521A-0CF2-4515-B1F8-4A6468A5251C}" uniqueName="24" name="Data Source(s)" queryTableFieldId="24"/>
    <tableColumn id="30" xr3:uid="{5A4E9A39-58DE-4E96-BEEE-D7ACFF29A1A7}" uniqueName="30" name="Data Conflict" queryTableFieldId="30" dataDxfId="39"/>
    <tableColumn id="26" xr3:uid="{6A4B55F2-D4FA-4846-9135-26CDC1408587}" uniqueName="26" name="Validation Status" queryTableFieldId="26"/>
    <tableColumn id="25" xr3:uid="{725F3DDA-844C-490A-A7FF-7298DAE71F96}" uniqueName="25" name="Added Date" queryTableFieldId="25"/>
    <tableColumn id="27" xr3:uid="{0F3B9EBD-BD1F-46D0-8B24-F0B18098CCD0}" uniqueName="27" name="Pending Ordering Plant" queryTableFieldId="27"/>
    <tableColumn id="28" xr3:uid="{7FFFE56E-C888-4002-931E-8E8C040E3E8A}" uniqueName="28" name="Pending Delivery Plant" queryTableFieldId="28"/>
    <tableColumn id="32" xr3:uid="{6D7BD625-094A-4BA3-A5F3-2FE2815FCC08}" uniqueName="32" name="Pending Status" queryTableFieldId="32"/>
    <tableColumn id="29" xr3:uid="{DCEEFF5C-6EED-431F-8284-24137BD7C80F}" uniqueName="29" name="Pending Remarks" queryTableFieldId="2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9F3533E-1BCB-40E8-9ADA-C35940B34891}" name="q_QA_Checks" displayName="q_QA_Checks" ref="A1:D15" tableType="queryTable" totalsRowShown="0">
  <autoFilter ref="A1:D15" xr:uid="{09F3533E-1BCB-40E8-9ADA-C35940B34891}"/>
  <tableColumns count="4">
    <tableColumn id="1" xr3:uid="{BE4D0EA6-C908-4ABF-B5DE-8DA84013F196}" uniqueName="1" name="QA Check Description" queryTableFieldId="1"/>
    <tableColumn id="2" xr3:uid="{81225286-8E4E-4A87-9166-4B72D22FE5A0}" uniqueName="2" name="Actual Result" queryTableFieldId="2"/>
    <tableColumn id="3" xr3:uid="{90F11E4C-80C7-4CCD-832D-FEF31CEB305D}" uniqueName="3" name="QA Status" queryTableFieldId="3"/>
    <tableColumn id="4" xr3:uid="{A6004392-F282-41A9-BAF6-FD8DD0DC13E7}" uniqueName="4" name="Notes" queryTableField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ManualAdditions" displayName="Table_ManualAdditions" ref="A1:X2" totalsRowShown="0" headerRowDxfId="38" dataDxfId="37">
  <autoFilter ref="A1:X2" xr:uid="{00000000-0009-0000-0100-000008000000}"/>
  <tableColumns count="24">
    <tableColumn id="1" xr3:uid="{00000000-0010-0000-0700-000001000000}" name="PO No." dataDxfId="36"/>
    <tableColumn id="2" xr3:uid="{00000000-0010-0000-0700-000002000000}" name="Legacy PO Number" dataDxfId="35"/>
    <tableColumn id="3" xr3:uid="{00000000-0010-0000-0700-000003000000}" name="Department" dataDxfId="34"/>
    <tableColumn id="4" xr3:uid="{00000000-0010-0000-0700-000004000000}" name="PO Desc." dataDxfId="33"/>
    <tableColumn id="5" xr3:uid="{00000000-0010-0000-0700-000005000000}" name="PO Value" dataDxfId="32"/>
    <tableColumn id="6" xr3:uid="{00000000-0010-0000-0700-000006000000}" name="Creation Dt" dataDxfId="31"/>
    <tableColumn id="7" xr3:uid="{00000000-0010-0000-0700-000007000000}" name="Expiry Dt" dataDxfId="30"/>
    <tableColumn id="8" xr3:uid="{00000000-0010-0000-0700-000008000000}" name="PO Vendor" dataDxfId="29"/>
    <tableColumn id="9" xr3:uid="{00000000-0010-0000-0700-000009000000}" name="Vendor Description" dataDxfId="28"/>
    <tableColumn id="10" xr3:uid="{00000000-0010-0000-0700-00000A000000}" name="EIC" dataDxfId="27"/>
    <tableColumn id="11" xr3:uid="{00000000-0010-0000-0700-00000B000000}" name="PO_Status" dataDxfId="26"/>
    <tableColumn id="12" xr3:uid="{00000000-0010-0000-0700-00000C000000}" name="Status" dataDxfId="25"/>
    <tableColumn id="13" xr3:uid="{00000000-0010-0000-0700-00000D000000}" name="Present CCP Status" dataDxfId="24"/>
    <tableColumn id="14" xr3:uid="{00000000-0010-0000-0700-00000E000000}" name="Status of CCP/CCC" dataDxfId="23"/>
    <tableColumn id="15" xr3:uid="{00000000-0010-0000-0700-00000F000000}" name="Final Dev. Status" dataDxfId="22">
      <calculatedColumnFormula>IF(ISBLANK(A2), "", IF(NOT(AND(LEN(TRIM(A2))=10, ISNUMBER(VALUE(TRIM(A2))))), "Invalid PO Number", IF(ISNUMBER(MATCH(A2,#REF!, 0)), "Already Exists in Master — Use Manual_PO_Overrides", IF(COUNTIF(A:A, A2)&gt;1, "Duplicate Manual Addition", "Valid New PO"))))</calculatedColumnFormula>
    </tableColumn>
    <tableColumn id="16" xr3:uid="{FA978AC5-041C-4163-9DA1-E9EF8C07DE60}" name="Closed Date" dataDxfId="21"/>
    <tableColumn id="17" xr3:uid="{9C131963-176E-4A3A-8D4A-145AAFFF6918}" name="Remarks" dataDxfId="20"/>
    <tableColumn id="18" xr3:uid="{C8000F1B-6813-4B2C-AB14-E92E408C4D24}" name="Data Source(s)" dataDxfId="19"/>
    <tableColumn id="19" xr3:uid="{37D26143-2BA6-4C5E-968B-1255BC99B4C1}" name="Validation Status" dataDxfId="18"/>
    <tableColumn id="20" xr3:uid="{2AF7976A-BE4E-4105-8DEE-09CC262471F2}" name="Added Date" dataDxfId="17"/>
    <tableColumn id="21" xr3:uid="{7C48F4C6-8DEC-4046-B10F-E8EA40ED4176}" name="Pending Ordering Plant" dataDxfId="16"/>
    <tableColumn id="22" xr3:uid="{F2C0B7A3-7CC1-4E62-BFEC-9EF95C936769}" name="Pending Delivery Plant" dataDxfId="15"/>
    <tableColumn id="23" xr3:uid="{C15C9AFF-B670-4913-8968-6868F8BF0636}" name="Pending Status" dataDxfId="14"/>
    <tableColumn id="24" xr3:uid="{DF43CC91-3641-42F6-B8CE-116F23679DDA}" name="Pending Remarks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ManualOverrides" displayName="Table_ManualOverrides" ref="A1:H3" totalsRowShown="0">
  <autoFilter ref="A1:H3" xr:uid="{00000000-0009-0000-0100-000009000000}"/>
  <tableColumns count="8">
    <tableColumn id="1" xr3:uid="{00000000-0010-0000-0800-000001000000}" name="PO No." dataDxfId="12"/>
    <tableColumn id="2" xr3:uid="{00000000-0010-0000-0800-000002000000}" name="Field to Override"/>
    <tableColumn id="3" xr3:uid="{00000000-0010-0000-0800-000003000000}" name="Manual Value"/>
    <tableColumn id="4" xr3:uid="{00000000-0010-0000-0800-000004000000}" name="Reason"/>
    <tableColumn id="5" xr3:uid="{00000000-0010-0000-0800-000005000000}" name="Source/Reference"/>
    <tableColumn id="6" xr3:uid="{00000000-0010-0000-0800-000006000000}" name="Updated By"/>
    <tableColumn id="7" xr3:uid="{00000000-0010-0000-0800-000007000000}" name="Update Date"/>
    <tableColumn id="8" xr3:uid="{00000000-0010-0000-0800-000008000000}" name="Activ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ManualExclusions" displayName="Table_ManualExclusions" ref="A1:F2" totalsRowShown="0" headerRowDxfId="11" dataDxfId="10">
  <autoFilter ref="A1:F2" xr:uid="{00000000-0009-0000-0100-00000A000000}"/>
  <tableColumns count="6">
    <tableColumn id="1" xr3:uid="{00000000-0010-0000-0900-000001000000}" name="PO No." dataDxfId="9"/>
    <tableColumn id="2" xr3:uid="{00000000-0010-0000-0900-000002000000}" name="Reason" dataDxfId="8"/>
    <tableColumn id="3" xr3:uid="{00000000-0010-0000-0900-000003000000}" name="Source/Reference" dataDxfId="7"/>
    <tableColumn id="4" xr3:uid="{00000000-0010-0000-0900-000004000000}" name="Excluded By" dataDxfId="6"/>
    <tableColumn id="5" xr3:uid="{00000000-0010-0000-0900-000005000000}" name="Exclusion Date" dataDxfId="5"/>
    <tableColumn id="6" xr3:uid="{00000000-0010-0000-0900-000006000000}" name="Active" dataDxfId="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422C00-D838-4A9A-89CC-B00B9D03A58B}" name="Table_PQSettings" displayName="Table_PQSettings" ref="A1:B5" totalsRowShown="0" headerRowDxfId="3">
  <autoFilter ref="A1:B5" xr:uid="{FF422C00-D838-4A9A-89CC-B00B9D03A58B}"/>
  <tableColumns count="2">
    <tableColumn id="1" xr3:uid="{AA8F65F4-4615-41D5-AC37-B0EDBDF79522}" name="Setting"/>
    <tableColumn id="2" xr3:uid="{32DB7288-F946-4D3B-BC8A-0506FBC5580D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selection activeCell="A16" sqref="A16"/>
    </sheetView>
  </sheetViews>
  <sheetFormatPr defaultRowHeight="14.4"/>
  <cols>
    <col min="1" max="2" width="101.77734375" customWidth="1"/>
  </cols>
  <sheetData>
    <row r="1" spans="1:2">
      <c r="A1" s="37" t="s">
        <v>0</v>
      </c>
      <c r="B1" s="37"/>
    </row>
    <row r="2" spans="1:2">
      <c r="A2" s="37"/>
      <c r="B2" s="37"/>
    </row>
    <row r="3" spans="1:2" ht="14.4" customHeight="1">
      <c r="A3" s="38" t="s">
        <v>1</v>
      </c>
      <c r="B3" s="38"/>
    </row>
    <row r="5" spans="1:2" ht="16.8">
      <c r="A5" s="23" t="s">
        <v>2</v>
      </c>
    </row>
    <row r="6" spans="1:2">
      <c r="A6" s="1" t="s">
        <v>3</v>
      </c>
      <c r="B6" s="2" t="s">
        <v>4</v>
      </c>
    </row>
    <row r="7" spans="1:2">
      <c r="A7" s="1" t="s">
        <v>5</v>
      </c>
      <c r="B7" s="2" t="s">
        <v>6</v>
      </c>
    </row>
    <row r="8" spans="1:2">
      <c r="A8" s="1" t="s">
        <v>7</v>
      </c>
      <c r="B8" s="2" t="s">
        <v>8</v>
      </c>
    </row>
    <row r="10" spans="1:2" ht="16.8">
      <c r="A10" s="23" t="s">
        <v>9</v>
      </c>
    </row>
    <row r="11" spans="1:2">
      <c r="A11" s="1" t="s">
        <v>10</v>
      </c>
      <c r="B11" s="2" t="s">
        <v>11</v>
      </c>
    </row>
    <row r="12" spans="1:2">
      <c r="A12" s="35" t="s">
        <v>259</v>
      </c>
      <c r="B12" s="36" t="s">
        <v>260</v>
      </c>
    </row>
    <row r="13" spans="1:2">
      <c r="A13" s="1" t="s">
        <v>133</v>
      </c>
      <c r="B13" s="2" t="s">
        <v>12</v>
      </c>
    </row>
    <row r="14" spans="1:2">
      <c r="A14" s="1"/>
    </row>
  </sheetData>
  <mergeCells count="2">
    <mergeCell ref="A1:B2"/>
    <mergeCell ref="A3:B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zoomScale="90" zoomScaleNormal="90" workbookViewId="0">
      <selection activeCell="G13" sqref="G13"/>
    </sheetView>
  </sheetViews>
  <sheetFormatPr defaultRowHeight="14.4"/>
  <cols>
    <col min="1" max="1" width="11.88671875" bestFit="1" customWidth="1"/>
    <col min="2" max="2" width="9.44140625" bestFit="1" customWidth="1"/>
    <col min="3" max="3" width="10.77734375" bestFit="1" customWidth="1"/>
    <col min="4" max="4" width="6.88671875" bestFit="1" customWidth="1"/>
    <col min="5" max="5" width="17.88671875" bestFit="1" customWidth="1"/>
    <col min="6" max="6" width="9.77734375" bestFit="1" customWidth="1"/>
    <col min="7" max="7" width="3.77734375" customWidth="1"/>
    <col min="8" max="8" width="24" bestFit="1" customWidth="1"/>
    <col min="9" max="9" width="12.109375" bestFit="1" customWidth="1"/>
    <col min="10" max="10" width="9.88671875" bestFit="1" customWidth="1"/>
    <col min="12" max="12" width="10.44140625" bestFit="1" customWidth="1"/>
    <col min="13" max="13" width="4.44140625" bestFit="1" customWidth="1"/>
  </cols>
  <sheetData>
    <row r="1" spans="1:13" ht="14.4" customHeight="1">
      <c r="A1" s="37" t="s">
        <v>13</v>
      </c>
      <c r="B1" s="37"/>
      <c r="C1" s="37"/>
      <c r="D1" s="37"/>
      <c r="E1" s="37"/>
      <c r="F1" s="37"/>
      <c r="G1" s="37"/>
      <c r="H1" s="37"/>
      <c r="I1" s="37"/>
      <c r="J1" s="37"/>
    </row>
    <row r="2" spans="1:13" ht="14.4" customHeight="1">
      <c r="A2" s="37"/>
      <c r="B2" s="37"/>
      <c r="C2" s="37"/>
      <c r="D2" s="37"/>
      <c r="E2" s="37"/>
      <c r="F2" s="37"/>
      <c r="G2" s="37"/>
      <c r="H2" s="37"/>
      <c r="I2" s="37"/>
      <c r="J2" s="37"/>
    </row>
    <row r="4" spans="1:13">
      <c r="A4" s="45" t="s">
        <v>14</v>
      </c>
      <c r="B4" s="45"/>
      <c r="C4" s="49" t="s">
        <v>15</v>
      </c>
      <c r="D4" s="49"/>
      <c r="E4" s="47" t="s">
        <v>16</v>
      </c>
      <c r="F4" s="47"/>
      <c r="G4" s="46" t="s">
        <v>17</v>
      </c>
      <c r="H4" s="46"/>
      <c r="I4" s="48" t="s">
        <v>18</v>
      </c>
      <c r="J4" s="48"/>
    </row>
    <row r="5" spans="1:13" ht="24.6">
      <c r="A5" s="40">
        <f>ROWS(q_Unified_Master[PO No.])</f>
        <v>25</v>
      </c>
      <c r="B5" s="40"/>
      <c r="C5" s="41">
        <f>COUNTIF(q_Unified_Master[PO_Status],"Not Closed")</f>
        <v>19</v>
      </c>
      <c r="D5" s="41"/>
      <c r="E5" s="42">
        <f>COUNTIF(q_Unified_Master[PO_Status],"Closed")</f>
        <v>6</v>
      </c>
      <c r="F5" s="42"/>
      <c r="G5" s="43">
        <f>SUM(q_Unified_Master[PO Value])</f>
        <v>20365000</v>
      </c>
      <c r="H5" s="43"/>
      <c r="I5" s="44">
        <f>COUNTIF(q_Unified_Master[Data Conflict],"Yes – Status Conflict")</f>
        <v>0</v>
      </c>
      <c r="J5" s="44"/>
    </row>
    <row r="8" spans="1:13" ht="16.2" customHeight="1">
      <c r="A8" s="39" t="s">
        <v>19</v>
      </c>
      <c r="B8" s="39"/>
      <c r="C8" s="39"/>
      <c r="D8" s="39"/>
      <c r="E8" s="39"/>
      <c r="F8" s="39"/>
      <c r="H8" s="39" t="s">
        <v>115</v>
      </c>
      <c r="I8" s="39"/>
      <c r="J8" s="39"/>
    </row>
    <row r="9" spans="1:13" ht="16.2" customHeight="1">
      <c r="A9" s="8" t="s">
        <v>20</v>
      </c>
      <c r="B9" s="8" t="s">
        <v>21</v>
      </c>
      <c r="C9" s="8" t="s">
        <v>22</v>
      </c>
      <c r="D9" s="8" t="s">
        <v>23</v>
      </c>
      <c r="E9" s="8" t="s">
        <v>24</v>
      </c>
      <c r="F9" s="8" t="s">
        <v>25</v>
      </c>
      <c r="H9" s="8" t="s">
        <v>116</v>
      </c>
      <c r="I9" s="8" t="s">
        <v>117</v>
      </c>
      <c r="J9" s="8" t="s">
        <v>61</v>
      </c>
    </row>
    <row r="10" spans="1:13" ht="16.2" customHeight="1">
      <c r="A10" s="9" t="s">
        <v>26</v>
      </c>
      <c r="B10" s="10">
        <f>COUNTIF(q_Unified_Master[Department],A10)</f>
        <v>1</v>
      </c>
      <c r="C10" s="10">
        <f>COUNTIFS(q_Unified_Master[Department],A10,q_Unified_Master[PO_Status],"Not Closed")</f>
        <v>1</v>
      </c>
      <c r="D10" s="10">
        <f>COUNTIFS(q_Unified_Master[Department],A10,q_Unified_Master[PO_Status],"Closed")</f>
        <v>0</v>
      </c>
      <c r="E10" s="11">
        <f>SUMIF(q_Unified_Master[Department],A10,q_Unified_Master[PO Value])</f>
        <v>990000</v>
      </c>
      <c r="F10" s="12">
        <f>IFERROR(D10/B10,0)</f>
        <v>0</v>
      </c>
      <c r="H10" s="13" t="s">
        <v>118</v>
      </c>
      <c r="I10" s="14">
        <f>_xlfn.XLOOKUP("5. Master Unique POs",q_QA_Checks[QA Check Description],q_QA_Checks[Actual Result],"")</f>
        <v>25</v>
      </c>
      <c r="J10" s="15" t="str">
        <f>_xlfn.XLOOKUP("5. Master Unique POs",q_QA_Checks[QA Check Description],q_QA_Checks[QA Status],"")</f>
        <v>PASS</v>
      </c>
      <c r="L10" s="16"/>
      <c r="M10" s="21"/>
    </row>
    <row r="11" spans="1:13" ht="16.2" customHeight="1">
      <c r="A11" s="27" t="s">
        <v>58</v>
      </c>
      <c r="B11" s="10">
        <f>COUNTIF(q_Unified_Master[Department],A11)</f>
        <v>1</v>
      </c>
      <c r="C11" s="10">
        <f>COUNTIFS(q_Unified_Master[Department],A11,q_Unified_Master[PO_Status],"Not Closed")</f>
        <v>1</v>
      </c>
      <c r="D11" s="10">
        <f>COUNTIFS(q_Unified_Master[Department],A11,q_Unified_Master[PO_Status],"Closed")</f>
        <v>0</v>
      </c>
      <c r="E11" s="11">
        <f>SUMIF(q_Unified_Master[Department],A11,q_Unified_Master[PO Value])</f>
        <v>1280000</v>
      </c>
      <c r="F11" s="12">
        <f t="shared" ref="F11:F22" si="0">IFERROR(D11/B11,0)</f>
        <v>0</v>
      </c>
      <c r="H11" s="13" t="s">
        <v>119</v>
      </c>
      <c r="I11" s="14">
        <f>_xlfn.XLOOKUP("6. Duplicate Master POs",q_QA_Checks[QA Check Description],q_QA_Checks[Actual Result],"")</f>
        <v>0</v>
      </c>
      <c r="J11" s="15" t="str">
        <f>_xlfn.XLOOKUP("6. Duplicate Master POs",q_QA_Checks[QA Check Description],q_QA_Checks[QA Status],"")</f>
        <v>PASS</v>
      </c>
      <c r="L11" s="22"/>
      <c r="M11" s="21"/>
    </row>
    <row r="12" spans="1:13" ht="16.2" customHeight="1">
      <c r="A12" s="9" t="s">
        <v>27</v>
      </c>
      <c r="B12" s="10">
        <f>COUNTIF(q_Unified_Master[Department],A12)</f>
        <v>2</v>
      </c>
      <c r="C12" s="10">
        <f>COUNTIFS(q_Unified_Master[Department],A12,q_Unified_Master[PO_Status],"Not Closed")</f>
        <v>1</v>
      </c>
      <c r="D12" s="10">
        <f>COUNTIFS(q_Unified_Master[Department],A12,q_Unified_Master[PO_Status],"Closed")</f>
        <v>1</v>
      </c>
      <c r="E12" s="11">
        <f>SUMIF(q_Unified_Master[Department],A12,q_Unified_Master[PO Value])</f>
        <v>1530000</v>
      </c>
      <c r="F12" s="12">
        <f t="shared" si="0"/>
        <v>0.5</v>
      </c>
      <c r="H12" s="13" t="s">
        <v>120</v>
      </c>
      <c r="I12" s="14">
        <f>_xlfn.XLOOKUP("14. Non-PO Records in Master",q_QA_Checks[QA Check Description],q_QA_Checks[Actual Result],"")</f>
        <v>0</v>
      </c>
      <c r="J12" s="15" t="str">
        <f>_xlfn.XLOOKUP("14. Non-PO Records in Master",q_QA_Checks[QA Check Description],q_QA_Checks[QA Status],"")</f>
        <v>PASS</v>
      </c>
    </row>
    <row r="13" spans="1:13" ht="16.2" customHeight="1">
      <c r="A13" s="9" t="s">
        <v>28</v>
      </c>
      <c r="B13" s="10">
        <f>COUNTIF(q_Unified_Master[Department],A13)</f>
        <v>0</v>
      </c>
      <c r="C13" s="10">
        <f>COUNTIFS(q_Unified_Master[Department],A13,q_Unified_Master[PO_Status],"Not Closed")</f>
        <v>0</v>
      </c>
      <c r="D13" s="10">
        <f>COUNTIFS(q_Unified_Master[Department],A13,q_Unified_Master[PO_Status],"Closed")</f>
        <v>0</v>
      </c>
      <c r="E13" s="11">
        <f>SUMIF(q_Unified_Master[Department],A13,q_Unified_Master[PO Value])</f>
        <v>0</v>
      </c>
      <c r="F13" s="12">
        <f t="shared" si="0"/>
        <v>0</v>
      </c>
      <c r="H13" s="13" t="s">
        <v>121</v>
      </c>
      <c r="I13" s="14">
        <f>_xlfn.XLOOKUP("2. CCP Unique POs",q_QA_Checks[QA Check Description],q_QA_Checks[Actual Result],"")</f>
        <v>15</v>
      </c>
      <c r="J13" s="15" t="str">
        <f>_xlfn.XLOOKUP("2. CCP Unique POs",q_QA_Checks[QA Check Description],q_QA_Checks[QA Status],"")</f>
        <v>PASS</v>
      </c>
    </row>
    <row r="14" spans="1:13" ht="16.2" customHeight="1">
      <c r="A14" s="9" t="s">
        <v>29</v>
      </c>
      <c r="B14" s="10">
        <f>COUNTIF(q_Unified_Master[Department],A14)</f>
        <v>1</v>
      </c>
      <c r="C14" s="10">
        <f>COUNTIFS(q_Unified_Master[Department],A14,q_Unified_Master[PO_Status],"Not Closed")</f>
        <v>1</v>
      </c>
      <c r="D14" s="10">
        <f>COUNTIFS(q_Unified_Master[Department],A14,q_Unified_Master[PO_Status],"Closed")</f>
        <v>0</v>
      </c>
      <c r="E14" s="11">
        <f>SUMIF(q_Unified_Master[Department],A14,q_Unified_Master[PO Value])</f>
        <v>735000</v>
      </c>
      <c r="F14" s="12">
        <f t="shared" si="0"/>
        <v>0</v>
      </c>
      <c r="H14" s="13" t="s">
        <v>122</v>
      </c>
      <c r="I14" s="14">
        <f>_xlfn.XLOOKUP("3. Pending Unique POs",q_QA_Checks[QA Check Description],q_QA_Checks[Actual Result],"")</f>
        <v>10</v>
      </c>
      <c r="J14" s="15" t="str">
        <f>_xlfn.XLOOKUP("3. Pending Unique POs",q_QA_Checks[QA Check Description],q_QA_Checks[QA Status],"")</f>
        <v>PASS</v>
      </c>
    </row>
    <row r="15" spans="1:13" ht="16.2" customHeight="1">
      <c r="A15" s="9" t="s">
        <v>30</v>
      </c>
      <c r="B15" s="10">
        <f>COUNTIF(q_Unified_Master[Department],A15)</f>
        <v>1</v>
      </c>
      <c r="C15" s="10">
        <f>COUNTIFS(q_Unified_Master[Department],A15,q_Unified_Master[PO_Status],"Not Closed")</f>
        <v>1</v>
      </c>
      <c r="D15" s="10">
        <f>COUNTIFS(q_Unified_Master[Department],A15,q_Unified_Master[PO_Status],"Closed")</f>
        <v>0</v>
      </c>
      <c r="E15" s="11">
        <f>SUMIF(q_Unified_Master[Department],A15,q_Unified_Master[PO Value])</f>
        <v>580000</v>
      </c>
      <c r="F15" s="12">
        <f t="shared" si="0"/>
        <v>0</v>
      </c>
      <c r="H15" s="13" t="s">
        <v>123</v>
      </c>
      <c r="I15" s="14">
        <f>_xlfn.XLOOKUP("4. Department Unique POs",q_QA_Checks[QA Check Description],q_QA_Checks[Actual Result],"")</f>
        <v>0</v>
      </c>
      <c r="J15" s="15" t="str">
        <f>_xlfn.XLOOKUP("4. Department Unique POs",q_QA_Checks[QA Check Description],q_QA_Checks[QA Status],"")</f>
        <v>PASS</v>
      </c>
    </row>
    <row r="16" spans="1:13" ht="16.2" customHeight="1">
      <c r="A16" s="9" t="s">
        <v>31</v>
      </c>
      <c r="B16" s="10">
        <f>COUNTIF(q_Unified_Master[Department],A16)</f>
        <v>1</v>
      </c>
      <c r="C16" s="10">
        <f>COUNTIFS(q_Unified_Master[Department],A16,q_Unified_Master[PO_Status],"Not Closed")</f>
        <v>1</v>
      </c>
      <c r="D16" s="10">
        <f>COUNTIFS(q_Unified_Master[Department],A16,q_Unified_Master[PO_Status],"Closed")</f>
        <v>0</v>
      </c>
      <c r="E16" s="11">
        <f>SUMIF(q_Unified_Master[Department],A16,q_Unified_Master[PO Value])</f>
        <v>1500000</v>
      </c>
      <c r="F16" s="12">
        <f t="shared" si="0"/>
        <v>0</v>
      </c>
      <c r="H16" s="13" t="s">
        <v>124</v>
      </c>
      <c r="I16" s="14">
        <f>_xlfn.XLOOKUP("1. ERP Unique Legacy POs",q_QA_Checks[QA Check Description],q_QA_Checks[Actual Result],"")</f>
        <v>10</v>
      </c>
      <c r="J16" s="15" t="str">
        <f>_xlfn.XLOOKUP("1. ERP Unique Legacy POs",q_QA_Checks[QA Check Description],q_QA_Checks[QA Status],"")</f>
        <v>PASS</v>
      </c>
    </row>
    <row r="17" spans="1:10" ht="16.2" customHeight="1">
      <c r="A17" s="9" t="s">
        <v>32</v>
      </c>
      <c r="B17" s="10">
        <f>COUNTIF(q_Unified_Master[Department],A17)</f>
        <v>2</v>
      </c>
      <c r="C17" s="10">
        <f>COUNTIFS(q_Unified_Master[Department],A17,q_Unified_Master[PO_Status],"Not Closed")</f>
        <v>1</v>
      </c>
      <c r="D17" s="10">
        <f>COUNTIFS(q_Unified_Master[Department],A17,q_Unified_Master[PO_Status],"Closed")</f>
        <v>1</v>
      </c>
      <c r="E17" s="11">
        <f>SUMIF(q_Unified_Master[Department],A17,q_Unified_Master[PO Value])</f>
        <v>1020000</v>
      </c>
      <c r="F17" s="12">
        <f t="shared" si="0"/>
        <v>0.5</v>
      </c>
      <c r="H17" s="13" t="s">
        <v>125</v>
      </c>
      <c r="I17" s="14">
        <f>_xlfn.XLOOKUP("8. CCP Missing from Master",q_QA_Checks[QA Check Description],q_QA_Checks[Actual Result],"")</f>
        <v>0</v>
      </c>
      <c r="J17" s="15" t="str">
        <f>_xlfn.XLOOKUP("8. CCP Missing from Master",q_QA_Checks[QA Check Description],q_QA_Checks[QA Status],"")</f>
        <v>PASS</v>
      </c>
    </row>
    <row r="18" spans="1:10" ht="16.2" customHeight="1">
      <c r="A18" s="9" t="s">
        <v>33</v>
      </c>
      <c r="B18" s="10">
        <f>COUNTIF(q_Unified_Master[Department],A18)</f>
        <v>2</v>
      </c>
      <c r="C18" s="10">
        <f>COUNTIFS(q_Unified_Master[Department],A18,q_Unified_Master[PO_Status],"Not Closed")</f>
        <v>1</v>
      </c>
      <c r="D18" s="10">
        <f>COUNTIFS(q_Unified_Master[Department],A18,q_Unified_Master[PO_Status],"Closed")</f>
        <v>1</v>
      </c>
      <c r="E18" s="11">
        <f>SUMIF(q_Unified_Master[Department],A18,q_Unified_Master[PO Value])</f>
        <v>1990000</v>
      </c>
      <c r="F18" s="12">
        <f t="shared" si="0"/>
        <v>0.5</v>
      </c>
      <c r="H18" s="13" t="s">
        <v>126</v>
      </c>
      <c r="I18" s="14">
        <f>_xlfn.XLOOKUP("9. Pending Missing from Master",q_QA_Checks[QA Check Description],q_QA_Checks[Actual Result],"")</f>
        <v>0</v>
      </c>
      <c r="J18" s="15" t="str">
        <f>_xlfn.XLOOKUP("9. Pending Missing from Master",q_QA_Checks[QA Check Description],q_QA_Checks[QA Status],"")</f>
        <v>PASS</v>
      </c>
    </row>
    <row r="19" spans="1:10" ht="16.2" customHeight="1">
      <c r="A19" s="9" t="s">
        <v>34</v>
      </c>
      <c r="B19" s="10">
        <f>COUNTIF(q_Unified_Master[Department],A19)</f>
        <v>0</v>
      </c>
      <c r="C19" s="10">
        <f>COUNTIFS(q_Unified_Master[Department],A19,q_Unified_Master[PO_Status],"Not Closed")</f>
        <v>0</v>
      </c>
      <c r="D19" s="10">
        <f>COUNTIFS(q_Unified_Master[Department],A19,q_Unified_Master[PO_Status],"Closed")</f>
        <v>0</v>
      </c>
      <c r="E19" s="11">
        <f>SUMIF(q_Unified_Master[Department],A19,q_Unified_Master[PO Value])</f>
        <v>0</v>
      </c>
      <c r="F19" s="12">
        <f t="shared" si="0"/>
        <v>0</v>
      </c>
      <c r="H19" s="13" t="s">
        <v>127</v>
      </c>
      <c r="I19" s="14">
        <f>_xlfn.XLOOKUP("10. Status Conflicts",q_QA_Checks[QA Check Description],q_QA_Checks[Actual Result],"")</f>
        <v>0</v>
      </c>
      <c r="J19" s="15" t="str">
        <f>_xlfn.XLOOKUP("10. Status Conflicts",q_QA_Checks[QA Check Description],q_QA_Checks[QA Status],"")</f>
        <v>PASS</v>
      </c>
    </row>
    <row r="20" spans="1:10" ht="16.2" customHeight="1">
      <c r="A20" s="9" t="s">
        <v>35</v>
      </c>
      <c r="B20" s="10">
        <f>COUNTIF(q_Unified_Master[Department],A20)</f>
        <v>3</v>
      </c>
      <c r="C20" s="10">
        <f>COUNTIFS(q_Unified_Master[Department],A20,q_Unified_Master[PO_Status],"Not Closed")</f>
        <v>1</v>
      </c>
      <c r="D20" s="10">
        <f>COUNTIFS(q_Unified_Master[Department],A20,q_Unified_Master[PO_Status],"Closed")</f>
        <v>2</v>
      </c>
      <c r="E20" s="11">
        <f>SUMIF(q_Unified_Master[Department],A20,q_Unified_Master[PO Value])</f>
        <v>2850000</v>
      </c>
      <c r="F20" s="12">
        <f t="shared" si="0"/>
        <v>0.66666666666666663</v>
      </c>
      <c r="H20" s="13" t="s">
        <v>128</v>
      </c>
      <c r="I20" s="14" t="str" cm="1">
        <f t="array" ref="I20">_xlfn.TEXTJOIN(", ",TRUE,_xlfn._xlws.FILTER(q_Unified_Master[PO No.],q_Unified_Master[Data Conflict]="Yes – Status Conflict","None"))</f>
        <v>None</v>
      </c>
      <c r="J20" s="15"/>
    </row>
    <row r="21" spans="1:10" ht="16.2" customHeight="1">
      <c r="A21" s="9" t="s">
        <v>36</v>
      </c>
      <c r="B21" s="10">
        <f>COUNTIF(q_Unified_Master[Department],A21)</f>
        <v>1</v>
      </c>
      <c r="C21" s="10">
        <f>COUNTIFS(q_Unified_Master[Department],A21,q_Unified_Master[PO_Status],"Not Closed")</f>
        <v>0</v>
      </c>
      <c r="D21" s="10">
        <f>COUNTIFS(q_Unified_Master[Department],A21,q_Unified_Master[PO_Status],"Closed")</f>
        <v>1</v>
      </c>
      <c r="E21" s="11">
        <f>SUMIF(q_Unified_Master[Department],A21,q_Unified_Master[PO Value])</f>
        <v>450000</v>
      </c>
      <c r="F21" s="12">
        <f t="shared" si="0"/>
        <v>1</v>
      </c>
      <c r="H21" s="13" t="s">
        <v>129</v>
      </c>
      <c r="I21" s="14">
        <f>_xlfn.XLOOKUP("7. ERP Relationship Review",q_QA_Checks[QA Check Description],q_QA_Checks[Actual Result],"")</f>
        <v>10</v>
      </c>
      <c r="J21" s="15" t="str">
        <f>_xlfn.XLOOKUP("7. ERP Relationship Review",q_QA_Checks[QA Check Description],q_QA_Checks[QA Status],"")</f>
        <v>REVIEW</v>
      </c>
    </row>
    <row r="22" spans="1:10" ht="16.2" customHeight="1">
      <c r="A22" s="9" t="s">
        <v>130</v>
      </c>
      <c r="B22" s="10">
        <f>COUNTIFS(q_Unified_Master[Department],"")</f>
        <v>10</v>
      </c>
      <c r="C22" s="10">
        <f>COUNTIFS(q_Unified_Master[Department],"",q_Unified_Master[PO_Status],"Not Closed")</f>
        <v>10</v>
      </c>
      <c r="D22" s="10">
        <f>COUNTIFS(q_Unified_Master[Department],"",q_Unified_Master[PO_Status],"Closed")</f>
        <v>0</v>
      </c>
      <c r="E22" s="11">
        <f>SUMIFS(q_Unified_Master[PO Value],q_Unified_Master[Department],"")</f>
        <v>7440000</v>
      </c>
      <c r="F22" s="12">
        <f t="shared" si="0"/>
        <v>0</v>
      </c>
      <c r="H22" s="13" t="s">
        <v>131</v>
      </c>
      <c r="I22" s="14" t="str">
        <f>IF(
AND(
COUNTIF(q_Unified_Master[Data Conflict],"Yes – Status Conflict")=0,
ROWS(q_Unified_Master[PO No.])&gt;0,
ROWS(q_Unified_Master[PO No.])=ROWS(_xlfn.UNIQUE(q_Unified_Master[PO No.])),
COUNTIF(q_Unified_Master[PO_Status],"Not Closed")+COUNTIF(q_Unified_Master[PO_Status],"Closed")=ROWS(q_Unified_Master[PO No.])
),
"PASS",
"REVIEW"
)</f>
        <v>PASS</v>
      </c>
      <c r="J22" s="15"/>
    </row>
    <row r="23" spans="1:10" ht="16.2" customHeight="1" thickBot="1">
      <c r="A23" s="17" t="s">
        <v>37</v>
      </c>
      <c r="B23" s="18">
        <f>SUM(B10:B22)</f>
        <v>25</v>
      </c>
      <c r="C23" s="18">
        <f>SUM(C10:C22)</f>
        <v>19</v>
      </c>
      <c r="D23" s="18">
        <f>SUM(D10:D22)</f>
        <v>6</v>
      </c>
      <c r="E23" s="19">
        <f>SUM(E10:E22)</f>
        <v>20365000</v>
      </c>
      <c r="F23" s="20">
        <f>IFERROR(D23/B23,0)</f>
        <v>0.24</v>
      </c>
      <c r="J23" s="15" t="str">
        <f>_xlfn.XLOOKUP(H23,q_QA_Checks[QA Check Description],q_QA_Checks[QA Status],"")</f>
        <v/>
      </c>
    </row>
    <row r="24" spans="1:10" ht="15" thickTop="1"/>
  </sheetData>
  <mergeCells count="13">
    <mergeCell ref="A4:B4"/>
    <mergeCell ref="G4:H4"/>
    <mergeCell ref="E4:F4"/>
    <mergeCell ref="A1:J2"/>
    <mergeCell ref="I4:J4"/>
    <mergeCell ref="C4:D4"/>
    <mergeCell ref="A8:F8"/>
    <mergeCell ref="H8:J8"/>
    <mergeCell ref="A5:B5"/>
    <mergeCell ref="C5:D5"/>
    <mergeCell ref="E5:F5"/>
    <mergeCell ref="G5:H5"/>
    <mergeCell ref="I5:J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E7A4-5BC4-4D80-9595-90ECCAC9D62D}">
  <dimension ref="A1:AH4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defaultRowHeight="14.4"/>
  <cols>
    <col min="1" max="1" width="11" bestFit="1" customWidth="1"/>
    <col min="2" max="2" width="19.44140625" bestFit="1" customWidth="1"/>
    <col min="3" max="3" width="13.33203125" bestFit="1" customWidth="1"/>
    <col min="4" max="4" width="28" style="25" bestFit="1" customWidth="1"/>
    <col min="5" max="5" width="10.88671875" style="24" bestFit="1" customWidth="1"/>
    <col min="6" max="6" width="12.6640625" style="4" bestFit="1" customWidth="1"/>
    <col min="7" max="7" width="10.6640625" style="4" bestFit="1" customWidth="1"/>
    <col min="8" max="9" width="24.5546875" bestFit="1" customWidth="1"/>
    <col min="10" max="10" width="11.21875" bestFit="1" customWidth="1"/>
    <col min="11" max="11" width="11.88671875" bestFit="1" customWidth="1"/>
    <col min="12" max="12" width="10" bestFit="1" customWidth="1"/>
    <col min="13" max="13" width="19.109375" bestFit="1" customWidth="1"/>
    <col min="14" max="14" width="18.77734375" bestFit="1" customWidth="1"/>
    <col min="15" max="15" width="17.5546875" bestFit="1" customWidth="1"/>
    <col min="16" max="16" width="13.109375" bestFit="1" customWidth="1"/>
    <col min="17" max="17" width="22.21875" bestFit="1" customWidth="1"/>
    <col min="18" max="18" width="15.5546875" bestFit="1" customWidth="1"/>
    <col min="19" max="19" width="14" bestFit="1" customWidth="1"/>
    <col min="20" max="20" width="17.5546875" bestFit="1" customWidth="1"/>
    <col min="21" max="21" width="13.109375" bestFit="1" customWidth="1"/>
    <col min="22" max="22" width="22.88671875" bestFit="1" customWidth="1"/>
    <col min="23" max="23" width="22.33203125" bestFit="1" customWidth="1"/>
    <col min="24" max="24" width="15.88671875" bestFit="1" customWidth="1"/>
    <col min="25" max="25" width="21.109375" bestFit="1" customWidth="1"/>
    <col min="26" max="26" width="10" bestFit="1" customWidth="1"/>
    <col min="27" max="27" width="29.88671875" bestFit="1" customWidth="1"/>
    <col min="28" max="28" width="21.88671875" bestFit="1" customWidth="1"/>
    <col min="29" max="29" width="61.33203125" bestFit="1" customWidth="1"/>
    <col min="30" max="30" width="19.44140625" bestFit="1" customWidth="1"/>
    <col min="31" max="31" width="17.6640625" bestFit="1" customWidth="1"/>
    <col min="32" max="32" width="11.88671875" bestFit="1" customWidth="1"/>
    <col min="34" max="34" width="10.6640625" style="4" bestFit="1" customWidth="1"/>
    <col min="35" max="35" width="11.33203125" bestFit="1" customWidth="1"/>
    <col min="36" max="36" width="15.5546875" bestFit="1" customWidth="1"/>
    <col min="37" max="37" width="13.109375" bestFit="1" customWidth="1"/>
    <col min="38" max="38" width="17.5546875" bestFit="1" customWidth="1"/>
    <col min="39" max="39" width="22.88671875" bestFit="1" customWidth="1"/>
    <col min="40" max="40" width="22.33203125" bestFit="1" customWidth="1"/>
    <col min="44" max="44" width="12.6640625" bestFit="1" customWidth="1"/>
    <col min="46" max="46" width="12" bestFit="1" customWidth="1"/>
    <col min="47" max="47" width="12.33203125" bestFit="1" customWidth="1"/>
    <col min="49" max="49" width="79" bestFit="1" customWidth="1"/>
    <col min="50" max="50" width="10" bestFit="1" customWidth="1"/>
    <col min="51" max="51" width="29.88671875" bestFit="1" customWidth="1"/>
    <col min="52" max="52" width="21.88671875" bestFit="1" customWidth="1"/>
    <col min="53" max="53" width="61.33203125" bestFit="1" customWidth="1"/>
    <col min="55" max="55" width="17.6640625" bestFit="1" customWidth="1"/>
    <col min="56" max="56" width="11.88671875" customWidth="1"/>
  </cols>
  <sheetData>
    <row r="1" spans="1:34">
      <c r="A1" t="s">
        <v>38</v>
      </c>
      <c r="B1" t="s">
        <v>39</v>
      </c>
      <c r="C1" t="s">
        <v>20</v>
      </c>
      <c r="D1" t="s">
        <v>40</v>
      </c>
      <c r="E1" s="24" t="s">
        <v>41</v>
      </c>
      <c r="F1" s="4" t="s">
        <v>42</v>
      </c>
      <c r="G1" s="4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49</v>
      </c>
      <c r="M1" t="s">
        <v>50</v>
      </c>
      <c r="N1" t="s">
        <v>48</v>
      </c>
      <c r="O1" t="s">
        <v>51</v>
      </c>
      <c r="P1" t="s">
        <v>56</v>
      </c>
      <c r="Q1" t="s">
        <v>57</v>
      </c>
      <c r="R1" t="s">
        <v>52</v>
      </c>
      <c r="S1" t="s">
        <v>53</v>
      </c>
      <c r="T1" t="s">
        <v>79</v>
      </c>
      <c r="U1" t="s">
        <v>78</v>
      </c>
      <c r="V1" t="s">
        <v>96</v>
      </c>
      <c r="W1" t="s">
        <v>97</v>
      </c>
      <c r="X1" t="s">
        <v>132</v>
      </c>
      <c r="Y1" t="s">
        <v>98</v>
      </c>
      <c r="AH1"/>
    </row>
    <row r="2" spans="1:34">
      <c r="A2" t="s">
        <v>139</v>
      </c>
      <c r="C2" t="s">
        <v>35</v>
      </c>
      <c r="D2" t="s">
        <v>140</v>
      </c>
      <c r="E2" s="24">
        <v>1250000</v>
      </c>
      <c r="F2" s="4">
        <v>46037</v>
      </c>
      <c r="G2" s="4">
        <v>46112</v>
      </c>
      <c r="H2" t="s">
        <v>141</v>
      </c>
      <c r="I2" t="s">
        <v>141</v>
      </c>
      <c r="J2" t="s">
        <v>142</v>
      </c>
      <c r="K2" t="s">
        <v>23</v>
      </c>
      <c r="L2" t="s">
        <v>22</v>
      </c>
      <c r="M2" t="s">
        <v>143</v>
      </c>
      <c r="N2" t="s">
        <v>144</v>
      </c>
      <c r="O2" t="s">
        <v>145</v>
      </c>
      <c r="Q2" t="s">
        <v>146</v>
      </c>
      <c r="AH2"/>
    </row>
    <row r="3" spans="1:34">
      <c r="A3" t="s">
        <v>147</v>
      </c>
      <c r="C3" t="s">
        <v>35</v>
      </c>
      <c r="D3" t="s">
        <v>148</v>
      </c>
      <c r="E3" s="24">
        <v>875000</v>
      </c>
      <c r="F3" s="4">
        <v>46058</v>
      </c>
      <c r="G3" s="4">
        <v>46173</v>
      </c>
      <c r="H3" t="s">
        <v>149</v>
      </c>
      <c r="I3" t="s">
        <v>149</v>
      </c>
      <c r="J3" t="s">
        <v>150</v>
      </c>
      <c r="K3" t="s">
        <v>22</v>
      </c>
      <c r="L3" t="s">
        <v>22</v>
      </c>
      <c r="M3" t="s">
        <v>144</v>
      </c>
      <c r="N3" t="s">
        <v>144</v>
      </c>
      <c r="O3" t="s">
        <v>145</v>
      </c>
      <c r="Q3" t="s">
        <v>146</v>
      </c>
      <c r="AH3"/>
    </row>
    <row r="4" spans="1:34">
      <c r="A4" t="s">
        <v>151</v>
      </c>
      <c r="C4" t="s">
        <v>32</v>
      </c>
      <c r="D4" t="s">
        <v>152</v>
      </c>
      <c r="E4" s="24">
        <v>640000</v>
      </c>
      <c r="F4" s="4">
        <v>46073</v>
      </c>
      <c r="G4" s="4">
        <v>46142</v>
      </c>
      <c r="H4" t="s">
        <v>153</v>
      </c>
      <c r="I4" t="s">
        <v>153</v>
      </c>
      <c r="J4" t="s">
        <v>154</v>
      </c>
      <c r="K4" t="s">
        <v>22</v>
      </c>
      <c r="L4" t="s">
        <v>22</v>
      </c>
      <c r="M4" t="s">
        <v>55</v>
      </c>
      <c r="N4" t="s">
        <v>144</v>
      </c>
      <c r="O4" t="s">
        <v>145</v>
      </c>
      <c r="Q4" t="s">
        <v>146</v>
      </c>
      <c r="AH4"/>
    </row>
    <row r="5" spans="1:34">
      <c r="A5" t="s">
        <v>155</v>
      </c>
      <c r="C5" t="s">
        <v>27</v>
      </c>
      <c r="D5" t="s">
        <v>156</v>
      </c>
      <c r="E5" s="24">
        <v>920000</v>
      </c>
      <c r="F5" s="4">
        <v>46082</v>
      </c>
      <c r="G5" s="4">
        <v>46203</v>
      </c>
      <c r="H5" t="s">
        <v>157</v>
      </c>
      <c r="I5" t="s">
        <v>157</v>
      </c>
      <c r="J5" t="s">
        <v>158</v>
      </c>
      <c r="K5" t="s">
        <v>22</v>
      </c>
      <c r="L5" t="s">
        <v>22</v>
      </c>
      <c r="M5" t="s">
        <v>144</v>
      </c>
      <c r="N5" t="s">
        <v>144</v>
      </c>
      <c r="O5" t="s">
        <v>145</v>
      </c>
      <c r="Q5" t="s">
        <v>146</v>
      </c>
      <c r="AH5"/>
    </row>
    <row r="6" spans="1:34">
      <c r="A6" t="s">
        <v>159</v>
      </c>
      <c r="C6" t="s">
        <v>31</v>
      </c>
      <c r="D6" t="s">
        <v>160</v>
      </c>
      <c r="E6" s="24">
        <v>1500000</v>
      </c>
      <c r="F6" s="4">
        <v>46099</v>
      </c>
      <c r="G6" s="4">
        <v>46234</v>
      </c>
      <c r="H6" t="s">
        <v>161</v>
      </c>
      <c r="I6" t="s">
        <v>161</v>
      </c>
      <c r="J6" t="s">
        <v>162</v>
      </c>
      <c r="K6" t="s">
        <v>22</v>
      </c>
      <c r="L6" t="s">
        <v>22</v>
      </c>
      <c r="M6" t="s">
        <v>143</v>
      </c>
      <c r="N6" t="s">
        <v>144</v>
      </c>
      <c r="O6" t="s">
        <v>145</v>
      </c>
      <c r="Q6" t="s">
        <v>146</v>
      </c>
      <c r="AH6"/>
    </row>
    <row r="7" spans="1:34">
      <c r="A7" t="s">
        <v>163</v>
      </c>
      <c r="C7" t="s">
        <v>33</v>
      </c>
      <c r="D7" t="s">
        <v>164</v>
      </c>
      <c r="E7" s="24">
        <v>1100000</v>
      </c>
      <c r="F7" s="4">
        <v>46114</v>
      </c>
      <c r="G7" s="4">
        <v>46265</v>
      </c>
      <c r="H7" t="s">
        <v>165</v>
      </c>
      <c r="I7" t="s">
        <v>165</v>
      </c>
      <c r="J7" t="s">
        <v>166</v>
      </c>
      <c r="K7" t="s">
        <v>22</v>
      </c>
      <c r="L7" t="s">
        <v>22</v>
      </c>
      <c r="M7" t="s">
        <v>144</v>
      </c>
      <c r="N7" t="s">
        <v>144</v>
      </c>
      <c r="O7" t="s">
        <v>145</v>
      </c>
      <c r="Q7" t="s">
        <v>146</v>
      </c>
      <c r="AH7"/>
    </row>
    <row r="8" spans="1:34">
      <c r="A8" t="s">
        <v>167</v>
      </c>
      <c r="C8" t="s">
        <v>29</v>
      </c>
      <c r="D8" t="s">
        <v>168</v>
      </c>
      <c r="E8" s="24">
        <v>735000</v>
      </c>
      <c r="F8" s="4">
        <v>46127</v>
      </c>
      <c r="G8" s="4">
        <v>46295</v>
      </c>
      <c r="H8" t="s">
        <v>169</v>
      </c>
      <c r="I8" t="s">
        <v>169</v>
      </c>
      <c r="J8" t="s">
        <v>170</v>
      </c>
      <c r="K8" t="s">
        <v>22</v>
      </c>
      <c r="L8" t="s">
        <v>22</v>
      </c>
      <c r="M8" t="s">
        <v>55</v>
      </c>
      <c r="N8" t="s">
        <v>144</v>
      </c>
      <c r="O8" t="s">
        <v>145</v>
      </c>
      <c r="Q8" t="s">
        <v>146</v>
      </c>
      <c r="AH8"/>
    </row>
    <row r="9" spans="1:34">
      <c r="A9" t="s">
        <v>171</v>
      </c>
      <c r="C9" t="s">
        <v>30</v>
      </c>
      <c r="D9" t="s">
        <v>172</v>
      </c>
      <c r="E9" s="24">
        <v>580000</v>
      </c>
      <c r="F9" s="4">
        <v>46143</v>
      </c>
      <c r="G9" s="4">
        <v>46326</v>
      </c>
      <c r="H9" t="s">
        <v>173</v>
      </c>
      <c r="I9" t="s">
        <v>173</v>
      </c>
      <c r="J9" t="s">
        <v>174</v>
      </c>
      <c r="K9" t="s">
        <v>22</v>
      </c>
      <c r="L9" t="s">
        <v>22</v>
      </c>
      <c r="M9" t="s">
        <v>144</v>
      </c>
      <c r="N9" t="s">
        <v>144</v>
      </c>
      <c r="O9" t="s">
        <v>145</v>
      </c>
      <c r="Q9" t="s">
        <v>146</v>
      </c>
      <c r="AH9"/>
    </row>
    <row r="10" spans="1:34">
      <c r="A10" t="s">
        <v>175</v>
      </c>
      <c r="C10" t="s">
        <v>26</v>
      </c>
      <c r="D10" t="s">
        <v>176</v>
      </c>
      <c r="E10" s="24">
        <v>990000</v>
      </c>
      <c r="F10" s="4">
        <v>46160</v>
      </c>
      <c r="G10" s="4">
        <v>46356</v>
      </c>
      <c r="H10" t="s">
        <v>177</v>
      </c>
      <c r="I10" t="s">
        <v>177</v>
      </c>
      <c r="J10" t="s">
        <v>178</v>
      </c>
      <c r="K10" t="s">
        <v>22</v>
      </c>
      <c r="L10" t="s">
        <v>22</v>
      </c>
      <c r="M10" t="s">
        <v>143</v>
      </c>
      <c r="N10" t="s">
        <v>144</v>
      </c>
      <c r="O10" t="s">
        <v>145</v>
      </c>
      <c r="Q10" t="s">
        <v>146</v>
      </c>
      <c r="AH10"/>
    </row>
    <row r="11" spans="1:34">
      <c r="A11" t="s">
        <v>179</v>
      </c>
      <c r="C11" t="s">
        <v>58</v>
      </c>
      <c r="D11" t="s">
        <v>180</v>
      </c>
      <c r="E11" s="24">
        <v>1280000</v>
      </c>
      <c r="F11" s="4">
        <v>46176</v>
      </c>
      <c r="G11" s="4">
        <v>46387</v>
      </c>
      <c r="H11" t="s">
        <v>181</v>
      </c>
      <c r="I11" t="s">
        <v>181</v>
      </c>
      <c r="J11" t="s">
        <v>182</v>
      </c>
      <c r="K11" t="s">
        <v>22</v>
      </c>
      <c r="L11" t="s">
        <v>22</v>
      </c>
      <c r="M11" t="s">
        <v>144</v>
      </c>
      <c r="N11" t="s">
        <v>144</v>
      </c>
      <c r="O11" t="s">
        <v>145</v>
      </c>
      <c r="Q11" t="s">
        <v>146</v>
      </c>
      <c r="AH11"/>
    </row>
    <row r="12" spans="1:34">
      <c r="A12" t="s">
        <v>183</v>
      </c>
      <c r="C12" t="s">
        <v>36</v>
      </c>
      <c r="D12" t="s">
        <v>184</v>
      </c>
      <c r="E12" s="24">
        <v>450000</v>
      </c>
      <c r="F12" s="4">
        <v>46027</v>
      </c>
      <c r="G12" s="4">
        <v>46081</v>
      </c>
      <c r="H12" t="s">
        <v>185</v>
      </c>
      <c r="I12" t="s">
        <v>185</v>
      </c>
      <c r="J12" t="s">
        <v>186</v>
      </c>
      <c r="K12" t="s">
        <v>23</v>
      </c>
      <c r="L12" t="s">
        <v>23</v>
      </c>
      <c r="M12" t="s">
        <v>23</v>
      </c>
      <c r="N12" t="s">
        <v>23</v>
      </c>
      <c r="O12" t="s">
        <v>187</v>
      </c>
      <c r="P12">
        <v>46073</v>
      </c>
      <c r="Q12" t="s">
        <v>188</v>
      </c>
      <c r="AH12"/>
    </row>
    <row r="13" spans="1:34">
      <c r="A13" t="s">
        <v>189</v>
      </c>
      <c r="C13" t="s">
        <v>35</v>
      </c>
      <c r="D13" t="s">
        <v>190</v>
      </c>
      <c r="E13" s="24">
        <v>725000</v>
      </c>
      <c r="F13" s="4">
        <v>46034</v>
      </c>
      <c r="G13" s="4">
        <v>46096</v>
      </c>
      <c r="H13" t="s">
        <v>191</v>
      </c>
      <c r="I13" t="s">
        <v>191</v>
      </c>
      <c r="J13" t="s">
        <v>192</v>
      </c>
      <c r="K13" t="s">
        <v>23</v>
      </c>
      <c r="L13" t="s">
        <v>23</v>
      </c>
      <c r="M13" t="s">
        <v>23</v>
      </c>
      <c r="N13" t="s">
        <v>23</v>
      </c>
      <c r="O13" t="s">
        <v>187</v>
      </c>
      <c r="P13">
        <v>46091</v>
      </c>
      <c r="Q13" t="s">
        <v>188</v>
      </c>
      <c r="AH13"/>
    </row>
    <row r="14" spans="1:34">
      <c r="A14" t="s">
        <v>193</v>
      </c>
      <c r="C14" t="s">
        <v>32</v>
      </c>
      <c r="D14" t="s">
        <v>194</v>
      </c>
      <c r="E14" s="24">
        <v>380000</v>
      </c>
      <c r="F14" s="4">
        <v>46047</v>
      </c>
      <c r="G14" s="4">
        <v>46112</v>
      </c>
      <c r="H14" t="s">
        <v>195</v>
      </c>
      <c r="I14" t="s">
        <v>195</v>
      </c>
      <c r="J14" t="s">
        <v>196</v>
      </c>
      <c r="K14" t="s">
        <v>23</v>
      </c>
      <c r="L14" t="s">
        <v>23</v>
      </c>
      <c r="M14" t="s">
        <v>23</v>
      </c>
      <c r="N14" t="s">
        <v>23</v>
      </c>
      <c r="O14" t="s">
        <v>187</v>
      </c>
      <c r="P14">
        <v>46106</v>
      </c>
      <c r="Q14" t="s">
        <v>188</v>
      </c>
      <c r="AH14"/>
    </row>
    <row r="15" spans="1:34">
      <c r="A15" t="s">
        <v>197</v>
      </c>
      <c r="C15" t="s">
        <v>27</v>
      </c>
      <c r="D15" t="s">
        <v>198</v>
      </c>
      <c r="E15" s="24">
        <v>610000</v>
      </c>
      <c r="F15" s="4">
        <v>46054</v>
      </c>
      <c r="G15" s="4">
        <v>46127</v>
      </c>
      <c r="H15" t="s">
        <v>199</v>
      </c>
      <c r="I15" t="s">
        <v>199</v>
      </c>
      <c r="J15" t="s">
        <v>200</v>
      </c>
      <c r="K15" t="s">
        <v>23</v>
      </c>
      <c r="L15" t="s">
        <v>23</v>
      </c>
      <c r="M15" t="s">
        <v>23</v>
      </c>
      <c r="N15" t="s">
        <v>23</v>
      </c>
      <c r="O15" t="s">
        <v>187</v>
      </c>
      <c r="P15">
        <v>46122</v>
      </c>
      <c r="Q15" t="s">
        <v>188</v>
      </c>
      <c r="AH15"/>
    </row>
    <row r="16" spans="1:34">
      <c r="A16" t="s">
        <v>201</v>
      </c>
      <c r="C16" t="s">
        <v>33</v>
      </c>
      <c r="D16" t="s">
        <v>202</v>
      </c>
      <c r="E16" s="24">
        <v>890000</v>
      </c>
      <c r="F16" s="4">
        <v>46068</v>
      </c>
      <c r="G16" s="4">
        <v>46173</v>
      </c>
      <c r="H16" t="s">
        <v>203</v>
      </c>
      <c r="I16" t="s">
        <v>203</v>
      </c>
      <c r="J16" t="s">
        <v>204</v>
      </c>
      <c r="K16" t="s">
        <v>23</v>
      </c>
      <c r="L16" t="s">
        <v>23</v>
      </c>
      <c r="M16" t="s">
        <v>23</v>
      </c>
      <c r="N16" t="s">
        <v>23</v>
      </c>
      <c r="O16" t="s">
        <v>187</v>
      </c>
      <c r="P16">
        <v>46162</v>
      </c>
      <c r="Q16" t="s">
        <v>188</v>
      </c>
      <c r="AH16"/>
    </row>
    <row r="17" spans="1:34">
      <c r="A17" t="s">
        <v>205</v>
      </c>
      <c r="B17">
        <v>4100001001</v>
      </c>
      <c r="D17" t="s">
        <v>206</v>
      </c>
      <c r="E17" s="24">
        <v>680000</v>
      </c>
      <c r="F17" s="4">
        <v>46032</v>
      </c>
      <c r="G17" s="4">
        <v>46142</v>
      </c>
      <c r="H17" t="s">
        <v>207</v>
      </c>
      <c r="I17" t="s">
        <v>207</v>
      </c>
      <c r="J17" t="s">
        <v>208</v>
      </c>
      <c r="K17" t="s">
        <v>22</v>
      </c>
      <c r="L17" t="s">
        <v>22</v>
      </c>
      <c r="N17" t="s">
        <v>144</v>
      </c>
      <c r="Q17" t="s">
        <v>209</v>
      </c>
      <c r="V17" t="s">
        <v>210</v>
      </c>
      <c r="W17" t="s">
        <v>211</v>
      </c>
      <c r="X17" t="s">
        <v>22</v>
      </c>
      <c r="Y17" t="s">
        <v>209</v>
      </c>
      <c r="AH17"/>
    </row>
    <row r="18" spans="1:34">
      <c r="A18" t="s">
        <v>212</v>
      </c>
      <c r="B18">
        <v>4100001002</v>
      </c>
      <c r="D18" t="s">
        <v>213</v>
      </c>
      <c r="E18" s="24">
        <v>920000</v>
      </c>
      <c r="F18" s="4">
        <v>46042</v>
      </c>
      <c r="G18" s="4">
        <v>46173</v>
      </c>
      <c r="H18" t="s">
        <v>214</v>
      </c>
      <c r="I18" t="s">
        <v>214</v>
      </c>
      <c r="J18" t="s">
        <v>215</v>
      </c>
      <c r="K18" t="s">
        <v>22</v>
      </c>
      <c r="L18" t="s">
        <v>22</v>
      </c>
      <c r="N18" t="s">
        <v>144</v>
      </c>
      <c r="Q18" t="s">
        <v>209</v>
      </c>
      <c r="V18" t="s">
        <v>210</v>
      </c>
      <c r="W18" t="s">
        <v>216</v>
      </c>
      <c r="X18" t="s">
        <v>22</v>
      </c>
      <c r="Y18" t="s">
        <v>209</v>
      </c>
      <c r="AH18"/>
    </row>
    <row r="19" spans="1:34">
      <c r="A19" t="s">
        <v>217</v>
      </c>
      <c r="B19">
        <v>4100001003</v>
      </c>
      <c r="D19" t="s">
        <v>218</v>
      </c>
      <c r="E19" s="24">
        <v>540000</v>
      </c>
      <c r="F19" s="4">
        <v>46058</v>
      </c>
      <c r="G19" s="4">
        <v>46203</v>
      </c>
      <c r="H19" t="s">
        <v>219</v>
      </c>
      <c r="I19" t="s">
        <v>219</v>
      </c>
      <c r="J19" t="s">
        <v>220</v>
      </c>
      <c r="K19" t="s">
        <v>22</v>
      </c>
      <c r="L19" t="s">
        <v>22</v>
      </c>
      <c r="N19" t="s">
        <v>144</v>
      </c>
      <c r="Q19" t="s">
        <v>209</v>
      </c>
      <c r="V19" t="s">
        <v>211</v>
      </c>
      <c r="W19" t="s">
        <v>216</v>
      </c>
      <c r="X19" t="s">
        <v>22</v>
      </c>
      <c r="Y19" t="s">
        <v>209</v>
      </c>
      <c r="AH19"/>
    </row>
    <row r="20" spans="1:34">
      <c r="A20" t="s">
        <v>221</v>
      </c>
      <c r="B20">
        <v>4100001004</v>
      </c>
      <c r="D20" t="s">
        <v>222</v>
      </c>
      <c r="E20" s="24">
        <v>760000</v>
      </c>
      <c r="F20" s="4">
        <v>46071</v>
      </c>
      <c r="G20" s="4">
        <v>46234</v>
      </c>
      <c r="H20" t="s">
        <v>223</v>
      </c>
      <c r="I20" t="s">
        <v>223</v>
      </c>
      <c r="J20" t="s">
        <v>224</v>
      </c>
      <c r="K20" t="s">
        <v>22</v>
      </c>
      <c r="L20" t="s">
        <v>22</v>
      </c>
      <c r="N20" t="s">
        <v>144</v>
      </c>
      <c r="Q20" t="s">
        <v>209</v>
      </c>
      <c r="V20" t="s">
        <v>211</v>
      </c>
      <c r="W20" t="s">
        <v>225</v>
      </c>
      <c r="X20" t="s">
        <v>22</v>
      </c>
      <c r="Y20" t="s">
        <v>209</v>
      </c>
      <c r="AH20"/>
    </row>
    <row r="21" spans="1:34">
      <c r="A21" t="s">
        <v>226</v>
      </c>
      <c r="B21">
        <v>4100001005</v>
      </c>
      <c r="D21" t="s">
        <v>227</v>
      </c>
      <c r="E21" s="24">
        <v>830000</v>
      </c>
      <c r="F21" s="4">
        <v>46082</v>
      </c>
      <c r="G21" s="4">
        <v>46265</v>
      </c>
      <c r="H21" t="s">
        <v>228</v>
      </c>
      <c r="I21" t="s">
        <v>228</v>
      </c>
      <c r="J21" t="s">
        <v>229</v>
      </c>
      <c r="K21" t="s">
        <v>22</v>
      </c>
      <c r="L21" t="s">
        <v>22</v>
      </c>
      <c r="N21" t="s">
        <v>144</v>
      </c>
      <c r="Q21" t="s">
        <v>209</v>
      </c>
      <c r="V21" t="s">
        <v>216</v>
      </c>
      <c r="W21" t="s">
        <v>225</v>
      </c>
      <c r="X21" t="s">
        <v>22</v>
      </c>
      <c r="Y21" t="s">
        <v>209</v>
      </c>
      <c r="AH21"/>
    </row>
    <row r="22" spans="1:34">
      <c r="A22" t="s">
        <v>230</v>
      </c>
      <c r="D22" t="s">
        <v>231</v>
      </c>
      <c r="E22" s="24">
        <v>615000</v>
      </c>
      <c r="F22" s="4">
        <v>46096</v>
      </c>
      <c r="G22" s="4">
        <v>46295</v>
      </c>
      <c r="H22" t="s">
        <v>232</v>
      </c>
      <c r="I22" t="s">
        <v>232</v>
      </c>
      <c r="J22" t="s">
        <v>233</v>
      </c>
      <c r="K22" t="s">
        <v>22</v>
      </c>
      <c r="L22" t="s">
        <v>22</v>
      </c>
      <c r="N22" t="s">
        <v>144</v>
      </c>
      <c r="Q22" t="s">
        <v>209</v>
      </c>
      <c r="V22" t="s">
        <v>216</v>
      </c>
      <c r="W22" t="s">
        <v>234</v>
      </c>
      <c r="X22" t="s">
        <v>22</v>
      </c>
      <c r="Y22" t="s">
        <v>209</v>
      </c>
      <c r="AH22"/>
    </row>
    <row r="23" spans="1:34">
      <c r="A23" t="s">
        <v>235</v>
      </c>
      <c r="D23" t="s">
        <v>236</v>
      </c>
      <c r="E23" s="24">
        <v>1050000</v>
      </c>
      <c r="F23" s="4">
        <v>46113</v>
      </c>
      <c r="G23" s="4">
        <v>46326</v>
      </c>
      <c r="H23" t="s">
        <v>237</v>
      </c>
      <c r="I23" t="s">
        <v>237</v>
      </c>
      <c r="J23" t="s">
        <v>238</v>
      </c>
      <c r="K23" t="s">
        <v>22</v>
      </c>
      <c r="L23" t="s">
        <v>22</v>
      </c>
      <c r="N23" t="s">
        <v>144</v>
      </c>
      <c r="Q23" t="s">
        <v>209</v>
      </c>
      <c r="V23" t="s">
        <v>225</v>
      </c>
      <c r="W23" t="s">
        <v>234</v>
      </c>
      <c r="X23" t="s">
        <v>22</v>
      </c>
      <c r="Y23" t="s">
        <v>209</v>
      </c>
      <c r="AH23"/>
    </row>
    <row r="24" spans="1:34">
      <c r="A24" t="s">
        <v>239</v>
      </c>
      <c r="D24" t="s">
        <v>240</v>
      </c>
      <c r="E24" s="24">
        <v>475000</v>
      </c>
      <c r="F24" s="4">
        <v>46127</v>
      </c>
      <c r="G24" s="4">
        <v>46356</v>
      </c>
      <c r="H24" t="s">
        <v>241</v>
      </c>
      <c r="I24" t="s">
        <v>241</v>
      </c>
      <c r="J24" t="s">
        <v>242</v>
      </c>
      <c r="K24" t="s">
        <v>22</v>
      </c>
      <c r="L24" t="s">
        <v>22</v>
      </c>
      <c r="N24" t="s">
        <v>144</v>
      </c>
      <c r="Q24" t="s">
        <v>209</v>
      </c>
      <c r="V24" t="s">
        <v>225</v>
      </c>
      <c r="W24" t="s">
        <v>243</v>
      </c>
      <c r="X24" t="s">
        <v>22</v>
      </c>
      <c r="Y24" t="s">
        <v>209</v>
      </c>
      <c r="AH24"/>
    </row>
    <row r="25" spans="1:34">
      <c r="A25" t="s">
        <v>244</v>
      </c>
      <c r="D25" t="s">
        <v>245</v>
      </c>
      <c r="E25" s="24">
        <v>390000</v>
      </c>
      <c r="F25" s="4">
        <v>46143</v>
      </c>
      <c r="G25" s="4">
        <v>46371</v>
      </c>
      <c r="H25" t="s">
        <v>246</v>
      </c>
      <c r="I25" t="s">
        <v>246</v>
      </c>
      <c r="J25" t="s">
        <v>247</v>
      </c>
      <c r="K25" t="s">
        <v>22</v>
      </c>
      <c r="L25" t="s">
        <v>22</v>
      </c>
      <c r="N25" t="s">
        <v>144</v>
      </c>
      <c r="Q25" t="s">
        <v>209</v>
      </c>
      <c r="V25" t="s">
        <v>234</v>
      </c>
      <c r="W25" t="s">
        <v>243</v>
      </c>
      <c r="X25" t="s">
        <v>22</v>
      </c>
      <c r="Y25" t="s">
        <v>209</v>
      </c>
      <c r="AH25"/>
    </row>
    <row r="26" spans="1:34">
      <c r="A26" t="s">
        <v>248</v>
      </c>
      <c r="D26" t="s">
        <v>249</v>
      </c>
      <c r="E26" s="24">
        <v>1180000</v>
      </c>
      <c r="F26" s="4">
        <v>46162</v>
      </c>
      <c r="G26" s="4">
        <v>46387</v>
      </c>
      <c r="H26" t="s">
        <v>250</v>
      </c>
      <c r="I26" t="s">
        <v>250</v>
      </c>
      <c r="J26" t="s">
        <v>251</v>
      </c>
      <c r="K26" t="s">
        <v>22</v>
      </c>
      <c r="L26" t="s">
        <v>22</v>
      </c>
      <c r="N26" t="s">
        <v>144</v>
      </c>
      <c r="Q26" t="s">
        <v>209</v>
      </c>
      <c r="V26" t="s">
        <v>234</v>
      </c>
      <c r="W26" t="s">
        <v>252</v>
      </c>
      <c r="X26" t="s">
        <v>22</v>
      </c>
      <c r="Y26" t="s">
        <v>209</v>
      </c>
      <c r="AH26"/>
    </row>
    <row r="27" spans="1:34">
      <c r="AH27"/>
    </row>
    <row r="28" spans="1:34">
      <c r="AH28"/>
    </row>
    <row r="29" spans="1:34">
      <c r="AH29"/>
    </row>
    <row r="30" spans="1:34">
      <c r="AH30"/>
    </row>
    <row r="31" spans="1:34">
      <c r="AH31"/>
    </row>
    <row r="32" spans="1:34">
      <c r="AH32"/>
    </row>
    <row r="33" spans="34:34">
      <c r="AH33"/>
    </row>
    <row r="34" spans="34:34">
      <c r="AH34"/>
    </row>
    <row r="35" spans="34:34">
      <c r="AH35"/>
    </row>
    <row r="36" spans="34:34">
      <c r="AH36"/>
    </row>
    <row r="37" spans="34:34">
      <c r="AH37"/>
    </row>
    <row r="38" spans="34:34">
      <c r="AH38"/>
    </row>
    <row r="39" spans="34:34">
      <c r="AH39"/>
    </row>
    <row r="40" spans="34:34">
      <c r="AH40"/>
    </row>
    <row r="41" spans="34:34">
      <c r="AH41"/>
    </row>
    <row r="42" spans="34:34">
      <c r="AH42"/>
    </row>
    <row r="43" spans="34:34">
      <c r="AH43"/>
    </row>
    <row r="44" spans="34:34">
      <c r="AH44"/>
    </row>
    <row r="45" spans="34:34">
      <c r="AH45"/>
    </row>
    <row r="46" spans="34:34">
      <c r="AH46"/>
    </row>
    <row r="47" spans="34:34">
      <c r="AH47"/>
    </row>
    <row r="48" spans="34:34">
      <c r="AH48"/>
    </row>
    <row r="49" spans="34:34">
      <c r="AH49"/>
    </row>
    <row r="50" spans="34:34">
      <c r="AH50"/>
    </row>
    <row r="51" spans="34:34">
      <c r="AH51"/>
    </row>
    <row r="52" spans="34:34">
      <c r="AH52"/>
    </row>
    <row r="53" spans="34:34">
      <c r="AH53"/>
    </row>
    <row r="54" spans="34:34">
      <c r="AH54"/>
    </row>
    <row r="55" spans="34:34">
      <c r="AH55"/>
    </row>
    <row r="56" spans="34:34">
      <c r="AH56"/>
    </row>
    <row r="57" spans="34:34">
      <c r="AH57"/>
    </row>
    <row r="58" spans="34:34">
      <c r="AH58"/>
    </row>
    <row r="59" spans="34:34">
      <c r="AH59"/>
    </row>
    <row r="60" spans="34:34">
      <c r="AH60"/>
    </row>
    <row r="61" spans="34:34">
      <c r="AH61"/>
    </row>
    <row r="62" spans="34:34">
      <c r="AH62"/>
    </row>
    <row r="63" spans="34:34">
      <c r="AH63"/>
    </row>
    <row r="64" spans="34:34">
      <c r="AH64"/>
    </row>
    <row r="65" spans="34:34">
      <c r="AH65"/>
    </row>
    <row r="66" spans="34:34">
      <c r="AH66"/>
    </row>
    <row r="67" spans="34:34">
      <c r="AH67"/>
    </row>
    <row r="68" spans="34:34">
      <c r="AH68"/>
    </row>
    <row r="69" spans="34:34">
      <c r="AH69"/>
    </row>
    <row r="70" spans="34:34">
      <c r="AH70"/>
    </row>
    <row r="71" spans="34:34">
      <c r="AH71"/>
    </row>
    <row r="72" spans="34:34">
      <c r="AH72"/>
    </row>
    <row r="73" spans="34:34">
      <c r="AH73"/>
    </row>
    <row r="74" spans="34:34">
      <c r="AH74"/>
    </row>
    <row r="75" spans="34:34">
      <c r="AH75"/>
    </row>
    <row r="76" spans="34:34">
      <c r="AH76"/>
    </row>
    <row r="77" spans="34:34">
      <c r="AH77"/>
    </row>
    <row r="78" spans="34:34">
      <c r="AH78"/>
    </row>
    <row r="79" spans="34:34">
      <c r="AH79"/>
    </row>
    <row r="80" spans="34:34">
      <c r="AH80"/>
    </row>
    <row r="81" spans="34:34">
      <c r="AH81"/>
    </row>
    <row r="82" spans="34:34">
      <c r="AH82"/>
    </row>
    <row r="83" spans="34:34">
      <c r="AH83"/>
    </row>
    <row r="84" spans="34:34">
      <c r="AH84"/>
    </row>
    <row r="85" spans="34:34">
      <c r="AH85"/>
    </row>
    <row r="86" spans="34:34">
      <c r="AH86"/>
    </row>
    <row r="87" spans="34:34">
      <c r="AH87"/>
    </row>
    <row r="88" spans="34:34">
      <c r="AH88"/>
    </row>
    <row r="89" spans="34:34">
      <c r="AH89"/>
    </row>
    <row r="90" spans="34:34">
      <c r="AH90"/>
    </row>
    <row r="91" spans="34:34">
      <c r="AH91"/>
    </row>
    <row r="92" spans="34:34">
      <c r="AH92"/>
    </row>
    <row r="93" spans="34:34">
      <c r="AH93"/>
    </row>
    <row r="94" spans="34:34">
      <c r="AH94"/>
    </row>
    <row r="95" spans="34:34">
      <c r="AH95"/>
    </row>
    <row r="96" spans="34:34">
      <c r="AH96"/>
    </row>
    <row r="97" spans="34:34">
      <c r="AH97"/>
    </row>
    <row r="98" spans="34:34">
      <c r="AH98"/>
    </row>
    <row r="99" spans="34:34">
      <c r="AH99"/>
    </row>
    <row r="100" spans="34:34">
      <c r="AH100"/>
    </row>
    <row r="101" spans="34:34">
      <c r="AH101"/>
    </row>
    <row r="102" spans="34:34">
      <c r="AH102"/>
    </row>
    <row r="103" spans="34:34">
      <c r="AH103"/>
    </row>
    <row r="104" spans="34:34">
      <c r="AH104"/>
    </row>
    <row r="105" spans="34:34">
      <c r="AH105"/>
    </row>
    <row r="106" spans="34:34">
      <c r="AH106"/>
    </row>
    <row r="107" spans="34:34">
      <c r="AH107"/>
    </row>
    <row r="108" spans="34:34">
      <c r="AH108"/>
    </row>
    <row r="109" spans="34:34">
      <c r="AH109"/>
    </row>
    <row r="110" spans="34:34">
      <c r="AH110"/>
    </row>
    <row r="111" spans="34:34">
      <c r="AH111"/>
    </row>
    <row r="112" spans="34:34">
      <c r="AH112"/>
    </row>
    <row r="113" spans="34:34">
      <c r="AH113"/>
    </row>
    <row r="114" spans="34:34">
      <c r="AH114"/>
    </row>
    <row r="115" spans="34:34">
      <c r="AH115"/>
    </row>
    <row r="116" spans="34:34">
      <c r="AH116"/>
    </row>
    <row r="117" spans="34:34">
      <c r="AH117"/>
    </row>
    <row r="118" spans="34:34">
      <c r="AH118"/>
    </row>
    <row r="119" spans="34:34">
      <c r="AH119"/>
    </row>
    <row r="120" spans="34:34">
      <c r="AH120"/>
    </row>
    <row r="121" spans="34:34">
      <c r="AH121"/>
    </row>
    <row r="122" spans="34:34">
      <c r="AH122"/>
    </row>
    <row r="123" spans="34:34">
      <c r="AH123"/>
    </row>
    <row r="124" spans="34:34">
      <c r="AH124"/>
    </row>
    <row r="125" spans="34:34">
      <c r="AH125"/>
    </row>
    <row r="126" spans="34:34">
      <c r="AH126"/>
    </row>
    <row r="127" spans="34:34">
      <c r="AH127"/>
    </row>
    <row r="128" spans="34:34">
      <c r="AH128"/>
    </row>
    <row r="129" spans="34:34">
      <c r="AH129"/>
    </row>
    <row r="130" spans="34:34">
      <c r="AH130"/>
    </row>
    <row r="131" spans="34:34">
      <c r="AH131"/>
    </row>
    <row r="132" spans="34:34">
      <c r="AH132"/>
    </row>
    <row r="133" spans="34:34">
      <c r="AH133"/>
    </row>
    <row r="134" spans="34:34">
      <c r="AH134"/>
    </row>
    <row r="135" spans="34:34">
      <c r="AH135"/>
    </row>
    <row r="136" spans="34:34">
      <c r="AH136"/>
    </row>
    <row r="137" spans="34:34">
      <c r="AH137"/>
    </row>
    <row r="138" spans="34:34">
      <c r="AH138"/>
    </row>
    <row r="139" spans="34:34">
      <c r="AH139"/>
    </row>
    <row r="140" spans="34:34">
      <c r="AH140"/>
    </row>
    <row r="141" spans="34:34">
      <c r="AH141"/>
    </row>
    <row r="142" spans="34:34">
      <c r="AH142"/>
    </row>
    <row r="143" spans="34:34">
      <c r="AH143"/>
    </row>
    <row r="144" spans="34:34">
      <c r="AH144"/>
    </row>
    <row r="145" spans="34:34">
      <c r="AH145"/>
    </row>
    <row r="146" spans="34:34">
      <c r="AH146"/>
    </row>
    <row r="147" spans="34:34">
      <c r="AH147"/>
    </row>
    <row r="148" spans="34:34">
      <c r="AH148"/>
    </row>
    <row r="149" spans="34:34">
      <c r="AH149"/>
    </row>
    <row r="150" spans="34:34">
      <c r="AH150"/>
    </row>
    <row r="151" spans="34:34">
      <c r="AH151"/>
    </row>
    <row r="152" spans="34:34">
      <c r="AH152"/>
    </row>
    <row r="153" spans="34:34">
      <c r="AH153"/>
    </row>
    <row r="154" spans="34:34">
      <c r="AH154"/>
    </row>
    <row r="155" spans="34:34">
      <c r="AH155"/>
    </row>
    <row r="156" spans="34:34">
      <c r="AH156"/>
    </row>
    <row r="157" spans="34:34">
      <c r="AH157"/>
    </row>
    <row r="158" spans="34:34">
      <c r="AH158"/>
    </row>
    <row r="159" spans="34:34">
      <c r="AH159"/>
    </row>
    <row r="160" spans="34:34">
      <c r="AH160"/>
    </row>
    <row r="161" spans="34:34">
      <c r="AH161"/>
    </row>
    <row r="162" spans="34:34">
      <c r="AH162"/>
    </row>
    <row r="163" spans="34:34">
      <c r="AH163"/>
    </row>
    <row r="164" spans="34:34">
      <c r="AH164"/>
    </row>
    <row r="165" spans="34:34">
      <c r="AH165"/>
    </row>
    <row r="166" spans="34:34">
      <c r="AH166"/>
    </row>
    <row r="167" spans="34:34">
      <c r="AH167"/>
    </row>
    <row r="168" spans="34:34">
      <c r="AH168"/>
    </row>
    <row r="169" spans="34:34">
      <c r="AH169"/>
    </row>
    <row r="170" spans="34:34">
      <c r="AH170"/>
    </row>
    <row r="171" spans="34:34">
      <c r="AH171"/>
    </row>
    <row r="172" spans="34:34">
      <c r="AH172"/>
    </row>
    <row r="173" spans="34:34">
      <c r="AH173"/>
    </row>
    <row r="174" spans="34:34">
      <c r="AH174"/>
    </row>
    <row r="175" spans="34:34">
      <c r="AH175"/>
    </row>
    <row r="176" spans="34:34">
      <c r="AH176"/>
    </row>
    <row r="177" spans="34:34">
      <c r="AH177"/>
    </row>
    <row r="178" spans="34:34">
      <c r="AH178"/>
    </row>
    <row r="179" spans="34:34">
      <c r="AH179"/>
    </row>
    <row r="180" spans="34:34">
      <c r="AH180"/>
    </row>
    <row r="181" spans="34:34">
      <c r="AH181"/>
    </row>
    <row r="182" spans="34:34">
      <c r="AH182"/>
    </row>
    <row r="183" spans="34:34">
      <c r="AH183"/>
    </row>
    <row r="184" spans="34:34">
      <c r="AH184"/>
    </row>
    <row r="185" spans="34:34">
      <c r="AH185"/>
    </row>
    <row r="186" spans="34:34">
      <c r="AH186"/>
    </row>
    <row r="187" spans="34:34">
      <c r="AH187"/>
    </row>
    <row r="188" spans="34:34">
      <c r="AH188"/>
    </row>
    <row r="189" spans="34:34">
      <c r="AH189"/>
    </row>
    <row r="190" spans="34:34">
      <c r="AH190"/>
    </row>
    <row r="191" spans="34:34">
      <c r="AH191"/>
    </row>
    <row r="192" spans="34:34">
      <c r="AH192"/>
    </row>
    <row r="193" spans="34:34">
      <c r="AH193"/>
    </row>
    <row r="194" spans="34:34">
      <c r="AH194"/>
    </row>
    <row r="195" spans="34:34">
      <c r="AH195"/>
    </row>
    <row r="196" spans="34:34">
      <c r="AH196"/>
    </row>
    <row r="197" spans="34:34">
      <c r="AH197"/>
    </row>
    <row r="198" spans="34:34">
      <c r="AH198"/>
    </row>
    <row r="199" spans="34:34">
      <c r="AH199"/>
    </row>
    <row r="200" spans="34:34">
      <c r="AH200"/>
    </row>
    <row r="201" spans="34:34">
      <c r="AH201"/>
    </row>
    <row r="202" spans="34:34">
      <c r="AH202"/>
    </row>
    <row r="203" spans="34:34">
      <c r="AH203"/>
    </row>
    <row r="204" spans="34:34">
      <c r="AH204"/>
    </row>
    <row r="205" spans="34:34">
      <c r="AH205"/>
    </row>
    <row r="206" spans="34:34">
      <c r="AH206"/>
    </row>
    <row r="207" spans="34:34">
      <c r="AH207"/>
    </row>
    <row r="208" spans="34:34">
      <c r="AH208"/>
    </row>
    <row r="209" spans="34:34">
      <c r="AH209"/>
    </row>
    <row r="210" spans="34:34">
      <c r="AH210"/>
    </row>
    <row r="211" spans="34:34">
      <c r="AH211"/>
    </row>
    <row r="212" spans="34:34">
      <c r="AH212"/>
    </row>
    <row r="213" spans="34:34">
      <c r="AH213"/>
    </row>
    <row r="214" spans="34:34">
      <c r="AH214"/>
    </row>
    <row r="215" spans="34:34">
      <c r="AH215"/>
    </row>
    <row r="216" spans="34:34">
      <c r="AH216"/>
    </row>
    <row r="217" spans="34:34">
      <c r="AH217"/>
    </row>
    <row r="218" spans="34:34">
      <c r="AH218"/>
    </row>
    <row r="219" spans="34:34">
      <c r="AH219"/>
    </row>
    <row r="220" spans="34:34">
      <c r="AH220"/>
    </row>
    <row r="221" spans="34:34">
      <c r="AH221"/>
    </row>
    <row r="222" spans="34:34">
      <c r="AH222"/>
    </row>
    <row r="223" spans="34:34">
      <c r="AH223"/>
    </row>
    <row r="224" spans="34:34">
      <c r="AH224"/>
    </row>
    <row r="225" spans="34:34">
      <c r="AH225"/>
    </row>
    <row r="226" spans="34:34">
      <c r="AH226"/>
    </row>
    <row r="227" spans="34:34">
      <c r="AH227"/>
    </row>
    <row r="228" spans="34:34">
      <c r="AH228"/>
    </row>
    <row r="229" spans="34:34">
      <c r="AH229"/>
    </row>
    <row r="230" spans="34:34">
      <c r="AH230"/>
    </row>
    <row r="231" spans="34:34">
      <c r="AH231"/>
    </row>
    <row r="232" spans="34:34">
      <c r="AH232"/>
    </row>
    <row r="233" spans="34:34">
      <c r="AH233"/>
    </row>
    <row r="234" spans="34:34">
      <c r="AH234"/>
    </row>
    <row r="235" spans="34:34">
      <c r="AH235"/>
    </row>
    <row r="236" spans="34:34">
      <c r="AH236"/>
    </row>
    <row r="237" spans="34:34">
      <c r="AH237"/>
    </row>
    <row r="238" spans="34:34">
      <c r="AH238"/>
    </row>
    <row r="239" spans="34:34">
      <c r="AH239"/>
    </row>
    <row r="240" spans="34:34">
      <c r="AH240"/>
    </row>
    <row r="241" spans="34:34">
      <c r="AH241"/>
    </row>
    <row r="242" spans="34:34">
      <c r="AH242"/>
    </row>
    <row r="243" spans="34:34">
      <c r="AH243"/>
    </row>
    <row r="244" spans="34:34">
      <c r="AH244"/>
    </row>
    <row r="245" spans="34:34">
      <c r="AH245"/>
    </row>
    <row r="246" spans="34:34">
      <c r="AH246"/>
    </row>
    <row r="247" spans="34:34">
      <c r="AH247"/>
    </row>
    <row r="248" spans="34:34">
      <c r="AH248"/>
    </row>
    <row r="249" spans="34:34">
      <c r="AH249"/>
    </row>
    <row r="250" spans="34:34">
      <c r="AH250"/>
    </row>
    <row r="251" spans="34:34">
      <c r="AH251"/>
    </row>
    <row r="252" spans="34:34">
      <c r="AH252"/>
    </row>
    <row r="253" spans="34:34">
      <c r="AH253"/>
    </row>
    <row r="254" spans="34:34">
      <c r="AH254"/>
    </row>
    <row r="255" spans="34:34">
      <c r="AH255"/>
    </row>
    <row r="256" spans="34:34">
      <c r="AH256"/>
    </row>
    <row r="257" spans="34:34">
      <c r="AH257"/>
    </row>
    <row r="258" spans="34:34">
      <c r="AH258"/>
    </row>
    <row r="259" spans="34:34">
      <c r="AH259"/>
    </row>
    <row r="260" spans="34:34">
      <c r="AH260"/>
    </row>
    <row r="261" spans="34:34">
      <c r="AH261"/>
    </row>
    <row r="262" spans="34:34">
      <c r="AH262"/>
    </row>
    <row r="263" spans="34:34">
      <c r="AH263"/>
    </row>
    <row r="264" spans="34:34">
      <c r="AH264"/>
    </row>
    <row r="265" spans="34:34">
      <c r="AH265"/>
    </row>
    <row r="266" spans="34:34">
      <c r="AH266"/>
    </row>
    <row r="267" spans="34:34">
      <c r="AH267"/>
    </row>
    <row r="268" spans="34:34">
      <c r="AH268"/>
    </row>
    <row r="269" spans="34:34">
      <c r="AH269"/>
    </row>
    <row r="270" spans="34:34">
      <c r="AH270"/>
    </row>
    <row r="271" spans="34:34">
      <c r="AH271"/>
    </row>
    <row r="272" spans="34:34">
      <c r="AH272"/>
    </row>
    <row r="273" spans="34:34">
      <c r="AH273"/>
    </row>
    <row r="274" spans="34:34">
      <c r="AH274"/>
    </row>
    <row r="275" spans="34:34">
      <c r="AH275"/>
    </row>
    <row r="276" spans="34:34">
      <c r="AH276"/>
    </row>
    <row r="277" spans="34:34">
      <c r="AH277"/>
    </row>
    <row r="278" spans="34:34">
      <c r="AH278"/>
    </row>
    <row r="279" spans="34:34">
      <c r="AH279"/>
    </row>
    <row r="280" spans="34:34">
      <c r="AH280"/>
    </row>
    <row r="281" spans="34:34">
      <c r="AH281"/>
    </row>
    <row r="282" spans="34:34">
      <c r="AH282"/>
    </row>
    <row r="283" spans="34:34">
      <c r="AH283"/>
    </row>
    <row r="284" spans="34:34">
      <c r="AH284"/>
    </row>
    <row r="285" spans="34:34">
      <c r="AH285"/>
    </row>
    <row r="286" spans="34:34">
      <c r="AH286"/>
    </row>
    <row r="287" spans="34:34">
      <c r="AH287"/>
    </row>
    <row r="288" spans="34:34">
      <c r="AH288"/>
    </row>
    <row r="289" spans="34:34">
      <c r="AH289"/>
    </row>
    <row r="290" spans="34:34">
      <c r="AH290"/>
    </row>
    <row r="291" spans="34:34">
      <c r="AH291"/>
    </row>
    <row r="292" spans="34:34">
      <c r="AH292"/>
    </row>
    <row r="293" spans="34:34">
      <c r="AH293"/>
    </row>
    <row r="294" spans="34:34">
      <c r="AH294"/>
    </row>
    <row r="295" spans="34:34">
      <c r="AH295"/>
    </row>
    <row r="296" spans="34:34">
      <c r="AH296"/>
    </row>
    <row r="297" spans="34:34">
      <c r="AH297"/>
    </row>
    <row r="298" spans="34:34">
      <c r="AH298"/>
    </row>
    <row r="299" spans="34:34">
      <c r="AH299"/>
    </row>
    <row r="300" spans="34:34">
      <c r="AH300"/>
    </row>
    <row r="301" spans="34:34">
      <c r="AH301"/>
    </row>
    <row r="302" spans="34:34">
      <c r="AH302"/>
    </row>
    <row r="303" spans="34:34">
      <c r="AH303"/>
    </row>
    <row r="304" spans="34:34">
      <c r="AH304"/>
    </row>
    <row r="305" spans="34:34">
      <c r="AH305"/>
    </row>
    <row r="306" spans="34:34">
      <c r="AH306"/>
    </row>
    <row r="307" spans="34:34">
      <c r="AH307"/>
    </row>
    <row r="308" spans="34:34">
      <c r="AH308"/>
    </row>
    <row r="309" spans="34:34">
      <c r="AH309"/>
    </row>
    <row r="310" spans="34:34">
      <c r="AH310"/>
    </row>
    <row r="311" spans="34:34">
      <c r="AH311"/>
    </row>
    <row r="312" spans="34:34">
      <c r="AH312"/>
    </row>
    <row r="313" spans="34:34">
      <c r="AH313"/>
    </row>
    <row r="314" spans="34:34">
      <c r="AH314"/>
    </row>
    <row r="315" spans="34:34">
      <c r="AH315"/>
    </row>
    <row r="316" spans="34:34">
      <c r="AH316"/>
    </row>
    <row r="317" spans="34:34">
      <c r="AH317"/>
    </row>
    <row r="318" spans="34:34">
      <c r="AH318"/>
    </row>
    <row r="319" spans="34:34">
      <c r="AH319"/>
    </row>
    <row r="320" spans="34:34">
      <c r="AH320"/>
    </row>
    <row r="321" spans="34:34">
      <c r="AH321"/>
    </row>
    <row r="322" spans="34:34">
      <c r="AH322"/>
    </row>
    <row r="323" spans="34:34">
      <c r="AH323"/>
    </row>
    <row r="324" spans="34:34">
      <c r="AH324"/>
    </row>
    <row r="325" spans="34:34">
      <c r="AH325"/>
    </row>
    <row r="326" spans="34:34">
      <c r="AH326"/>
    </row>
    <row r="327" spans="34:34">
      <c r="AH327"/>
    </row>
    <row r="328" spans="34:34">
      <c r="AH328"/>
    </row>
    <row r="329" spans="34:34">
      <c r="AH329"/>
    </row>
    <row r="330" spans="34:34">
      <c r="AH330"/>
    </row>
    <row r="331" spans="34:34">
      <c r="AH331"/>
    </row>
    <row r="332" spans="34:34">
      <c r="AH332"/>
    </row>
    <row r="333" spans="34:34">
      <c r="AH333"/>
    </row>
    <row r="334" spans="34:34">
      <c r="AH334"/>
    </row>
    <row r="335" spans="34:34">
      <c r="AH335"/>
    </row>
    <row r="336" spans="34:34">
      <c r="AH336"/>
    </row>
    <row r="337" spans="34:34">
      <c r="AH337"/>
    </row>
    <row r="338" spans="34:34">
      <c r="AH338"/>
    </row>
    <row r="339" spans="34:34">
      <c r="AH339"/>
    </row>
    <row r="340" spans="34:34">
      <c r="AH340"/>
    </row>
    <row r="341" spans="34:34">
      <c r="AH341"/>
    </row>
    <row r="342" spans="34:34">
      <c r="AH342"/>
    </row>
    <row r="343" spans="34:34">
      <c r="AH343"/>
    </row>
    <row r="344" spans="34:34">
      <c r="AH344"/>
    </row>
    <row r="345" spans="34:34">
      <c r="AH345"/>
    </row>
    <row r="346" spans="34:34">
      <c r="AH346"/>
    </row>
    <row r="347" spans="34:34">
      <c r="AH347"/>
    </row>
    <row r="348" spans="34:34">
      <c r="AH348"/>
    </row>
    <row r="349" spans="34:34">
      <c r="AH349"/>
    </row>
    <row r="350" spans="34:34">
      <c r="AH350"/>
    </row>
    <row r="351" spans="34:34">
      <c r="AH351"/>
    </row>
    <row r="352" spans="34:34">
      <c r="AH352"/>
    </row>
    <row r="353" spans="34:34">
      <c r="AH353"/>
    </row>
    <row r="354" spans="34:34">
      <c r="AH354"/>
    </row>
    <row r="355" spans="34:34">
      <c r="AH355"/>
    </row>
    <row r="356" spans="34:34">
      <c r="AH356"/>
    </row>
    <row r="357" spans="34:34">
      <c r="AH357"/>
    </row>
    <row r="358" spans="34:34">
      <c r="AH358"/>
    </row>
    <row r="359" spans="34:34">
      <c r="AH359"/>
    </row>
    <row r="360" spans="34:34">
      <c r="AH360"/>
    </row>
    <row r="361" spans="34:34">
      <c r="AH361"/>
    </row>
    <row r="362" spans="34:34">
      <c r="AH362"/>
    </row>
    <row r="363" spans="34:34">
      <c r="AH363"/>
    </row>
    <row r="364" spans="34:34">
      <c r="AH364"/>
    </row>
    <row r="365" spans="34:34">
      <c r="AH365"/>
    </row>
    <row r="366" spans="34:34">
      <c r="AH366"/>
    </row>
    <row r="367" spans="34:34">
      <c r="AH367"/>
    </row>
    <row r="368" spans="34:34">
      <c r="AH368"/>
    </row>
    <row r="369" spans="34:34">
      <c r="AH369"/>
    </row>
    <row r="370" spans="34:34">
      <c r="AH370"/>
    </row>
    <row r="371" spans="34:34">
      <c r="AH371"/>
    </row>
    <row r="372" spans="34:34">
      <c r="AH372"/>
    </row>
    <row r="373" spans="34:34">
      <c r="AH373"/>
    </row>
    <row r="374" spans="34:34">
      <c r="AH374"/>
    </row>
    <row r="375" spans="34:34">
      <c r="AH375"/>
    </row>
    <row r="376" spans="34:34">
      <c r="AH376"/>
    </row>
    <row r="377" spans="34:34">
      <c r="AH377"/>
    </row>
    <row r="378" spans="34:34">
      <c r="AH378"/>
    </row>
    <row r="379" spans="34:34">
      <c r="AH379"/>
    </row>
    <row r="380" spans="34:34">
      <c r="AH380"/>
    </row>
    <row r="381" spans="34:34">
      <c r="AH381"/>
    </row>
    <row r="382" spans="34:34">
      <c r="AH382"/>
    </row>
    <row r="383" spans="34:34">
      <c r="AH383"/>
    </row>
    <row r="384" spans="34:34">
      <c r="AH384"/>
    </row>
    <row r="385" spans="34:34">
      <c r="AH385"/>
    </row>
    <row r="386" spans="34:34">
      <c r="AH386"/>
    </row>
    <row r="387" spans="34:34">
      <c r="AH387"/>
    </row>
    <row r="388" spans="34:34">
      <c r="AH388"/>
    </row>
    <row r="389" spans="34:34">
      <c r="AH389"/>
    </row>
    <row r="390" spans="34:34">
      <c r="AH390"/>
    </row>
    <row r="391" spans="34:34">
      <c r="AH391"/>
    </row>
    <row r="392" spans="34:34">
      <c r="AH392"/>
    </row>
    <row r="393" spans="34:34">
      <c r="AH393"/>
    </row>
    <row r="394" spans="34:34">
      <c r="AH394"/>
    </row>
    <row r="395" spans="34:34">
      <c r="AH395"/>
    </row>
    <row r="396" spans="34:34">
      <c r="AH396"/>
    </row>
    <row r="397" spans="34:34">
      <c r="AH397"/>
    </row>
    <row r="398" spans="34:34">
      <c r="AH398"/>
    </row>
    <row r="399" spans="34:34">
      <c r="AH399"/>
    </row>
    <row r="400" spans="34:34">
      <c r="AH400"/>
    </row>
    <row r="401" spans="34:34">
      <c r="AH401"/>
    </row>
    <row r="402" spans="34:34">
      <c r="AH402"/>
    </row>
    <row r="403" spans="34:34">
      <c r="AH403"/>
    </row>
    <row r="404" spans="34:34">
      <c r="AH404"/>
    </row>
    <row r="405" spans="34:34">
      <c r="AH405"/>
    </row>
    <row r="406" spans="34:34">
      <c r="AH406"/>
    </row>
    <row r="407" spans="34:34">
      <c r="AH407"/>
    </row>
    <row r="408" spans="34:34">
      <c r="AH408"/>
    </row>
    <row r="409" spans="34:34">
      <c r="AH409"/>
    </row>
    <row r="410" spans="34:34">
      <c r="AH410"/>
    </row>
    <row r="411" spans="34:34">
      <c r="AH411"/>
    </row>
    <row r="412" spans="34:34">
      <c r="AH412"/>
    </row>
    <row r="413" spans="34:34">
      <c r="AH413"/>
    </row>
    <row r="414" spans="34:34">
      <c r="AH414"/>
    </row>
    <row r="415" spans="34:34">
      <c r="AH415"/>
    </row>
    <row r="416" spans="34:34">
      <c r="AH416"/>
    </row>
    <row r="417" spans="34:34">
      <c r="AH417"/>
    </row>
    <row r="418" spans="34:34">
      <c r="AH418"/>
    </row>
    <row r="419" spans="34:34">
      <c r="AH419"/>
    </row>
    <row r="420" spans="34:34">
      <c r="AH420"/>
    </row>
    <row r="421" spans="34:34">
      <c r="AH421"/>
    </row>
    <row r="422" spans="34:34">
      <c r="AH422"/>
    </row>
    <row r="423" spans="34:34">
      <c r="AH423"/>
    </row>
    <row r="424" spans="34:34">
      <c r="AH424"/>
    </row>
    <row r="425" spans="34:34">
      <c r="AH425"/>
    </row>
    <row r="426" spans="34:34">
      <c r="AH426"/>
    </row>
    <row r="427" spans="34:34">
      <c r="AH427"/>
    </row>
    <row r="428" spans="34:34">
      <c r="AH428"/>
    </row>
    <row r="429" spans="34:34">
      <c r="AH429"/>
    </row>
    <row r="430" spans="34:34">
      <c r="AH430"/>
    </row>
    <row r="431" spans="34:34">
      <c r="AH431"/>
    </row>
    <row r="432" spans="34:34">
      <c r="AH432"/>
    </row>
    <row r="433" spans="34:34">
      <c r="AH433"/>
    </row>
    <row r="434" spans="34:34">
      <c r="AH434"/>
    </row>
    <row r="435" spans="34:34">
      <c r="AH435"/>
    </row>
    <row r="436" spans="34:34">
      <c r="AH436"/>
    </row>
    <row r="437" spans="34:34">
      <c r="AH437"/>
    </row>
    <row r="438" spans="34:34">
      <c r="AH438"/>
    </row>
    <row r="439" spans="34:34">
      <c r="AH439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5A8D-2491-48AB-BA27-CDDED39F3698}">
  <dimension ref="A1:D15"/>
  <sheetViews>
    <sheetView tabSelected="1" zoomScaleNormal="100" workbookViewId="0">
      <selection activeCell="D22" sqref="D22"/>
    </sheetView>
  </sheetViews>
  <sheetFormatPr defaultRowHeight="14.4"/>
  <cols>
    <col min="1" max="1" width="26.88671875" bestFit="1" customWidth="1"/>
    <col min="2" max="2" width="14.109375" bestFit="1" customWidth="1"/>
    <col min="3" max="3" width="11.44140625" bestFit="1" customWidth="1"/>
    <col min="4" max="4" width="80" bestFit="1" customWidth="1"/>
  </cols>
  <sheetData>
    <row r="1" spans="1:4">
      <c r="A1" t="s">
        <v>59</v>
      </c>
      <c r="B1" t="s">
        <v>60</v>
      </c>
      <c r="C1" t="s">
        <v>61</v>
      </c>
      <c r="D1" t="s">
        <v>99</v>
      </c>
    </row>
    <row r="2" spans="1:4">
      <c r="A2" t="s">
        <v>62</v>
      </c>
      <c r="B2">
        <v>10</v>
      </c>
      <c r="C2" t="s">
        <v>100</v>
      </c>
      <c r="D2" t="s">
        <v>101</v>
      </c>
    </row>
    <row r="3" spans="1:4">
      <c r="A3" t="s">
        <v>63</v>
      </c>
      <c r="B3">
        <v>15</v>
      </c>
      <c r="C3" t="s">
        <v>100</v>
      </c>
      <c r="D3" t="s">
        <v>102</v>
      </c>
    </row>
    <row r="4" spans="1:4">
      <c r="A4" t="s">
        <v>64</v>
      </c>
      <c r="B4">
        <v>10</v>
      </c>
      <c r="C4" t="s">
        <v>100</v>
      </c>
      <c r="D4" t="s">
        <v>103</v>
      </c>
    </row>
    <row r="5" spans="1:4">
      <c r="A5" t="s">
        <v>65</v>
      </c>
      <c r="B5">
        <v>0</v>
      </c>
      <c r="C5" t="s">
        <v>100</v>
      </c>
      <c r="D5" t="s">
        <v>104</v>
      </c>
    </row>
    <row r="6" spans="1:4">
      <c r="A6" t="s">
        <v>66</v>
      </c>
      <c r="B6">
        <v>25</v>
      </c>
      <c r="C6" t="s">
        <v>100</v>
      </c>
      <c r="D6" t="s">
        <v>105</v>
      </c>
    </row>
    <row r="7" spans="1:4">
      <c r="A7" t="s">
        <v>67</v>
      </c>
      <c r="B7">
        <v>0</v>
      </c>
      <c r="C7" t="s">
        <v>100</v>
      </c>
      <c r="D7" t="s">
        <v>106</v>
      </c>
    </row>
    <row r="8" spans="1:4">
      <c r="A8" t="s">
        <v>68</v>
      </c>
      <c r="B8">
        <v>10</v>
      </c>
      <c r="C8" t="s">
        <v>69</v>
      </c>
      <c r="D8" t="s">
        <v>107</v>
      </c>
    </row>
    <row r="9" spans="1:4">
      <c r="A9" t="s">
        <v>70</v>
      </c>
      <c r="B9">
        <v>0</v>
      </c>
      <c r="C9" t="s">
        <v>100</v>
      </c>
      <c r="D9" t="s">
        <v>108</v>
      </c>
    </row>
    <row r="10" spans="1:4">
      <c r="A10" t="s">
        <v>71</v>
      </c>
      <c r="B10">
        <v>0</v>
      </c>
      <c r="C10" t="s">
        <v>100</v>
      </c>
      <c r="D10" t="s">
        <v>109</v>
      </c>
    </row>
    <row r="11" spans="1:4">
      <c r="A11" t="s">
        <v>72</v>
      </c>
      <c r="B11">
        <v>0</v>
      </c>
      <c r="C11" t="s">
        <v>100</v>
      </c>
      <c r="D11" t="s">
        <v>110</v>
      </c>
    </row>
    <row r="12" spans="1:4">
      <c r="A12" t="s">
        <v>73</v>
      </c>
      <c r="C12" t="s">
        <v>69</v>
      </c>
      <c r="D12" t="s">
        <v>111</v>
      </c>
    </row>
    <row r="13" spans="1:4">
      <c r="A13" t="s">
        <v>74</v>
      </c>
      <c r="C13" t="s">
        <v>69</v>
      </c>
      <c r="D13" t="s">
        <v>112</v>
      </c>
    </row>
    <row r="14" spans="1:4">
      <c r="A14" t="s">
        <v>75</v>
      </c>
      <c r="C14" t="s">
        <v>69</v>
      </c>
      <c r="D14" t="s">
        <v>113</v>
      </c>
    </row>
    <row r="15" spans="1:4">
      <c r="A15" t="s">
        <v>76</v>
      </c>
      <c r="B15">
        <v>0</v>
      </c>
      <c r="C15" t="s">
        <v>100</v>
      </c>
      <c r="D15" t="s">
        <v>114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"/>
  <sheetViews>
    <sheetView zoomScaleNormal="100" workbookViewId="0">
      <selection sqref="A1:X2"/>
    </sheetView>
  </sheetViews>
  <sheetFormatPr defaultRowHeight="14.4"/>
  <cols>
    <col min="1" max="1" width="11.33203125" bestFit="1" customWidth="1"/>
    <col min="2" max="2" width="21.6640625" bestFit="1" customWidth="1"/>
    <col min="3" max="3" width="15.5546875" bestFit="1" customWidth="1"/>
    <col min="4" max="4" width="12.77734375" bestFit="1" customWidth="1"/>
    <col min="5" max="5" width="13.109375" bestFit="1" customWidth="1"/>
    <col min="6" max="6" width="14.88671875" bestFit="1" customWidth="1"/>
    <col min="7" max="7" width="12.88671875" bestFit="1" customWidth="1"/>
    <col min="8" max="8" width="14.5546875" bestFit="1" customWidth="1"/>
    <col min="9" max="9" width="21.77734375" bestFit="1" customWidth="1"/>
    <col min="10" max="10" width="8.109375" bestFit="1" customWidth="1"/>
    <col min="11" max="11" width="14.109375" bestFit="1" customWidth="1"/>
    <col min="12" max="12" width="10.6640625" bestFit="1" customWidth="1"/>
    <col min="13" max="13" width="21.33203125" bestFit="1" customWidth="1"/>
    <col min="14" max="14" width="21" bestFit="1" customWidth="1"/>
    <col min="15" max="15" width="19.33203125" bestFit="1" customWidth="1"/>
    <col min="16" max="16" width="15.33203125" bestFit="1" customWidth="1"/>
    <col min="17" max="17" width="12.6640625" bestFit="1" customWidth="1"/>
    <col min="18" max="18" width="17.77734375" bestFit="1" customWidth="1"/>
    <col min="19" max="19" width="19.77734375" bestFit="1" customWidth="1"/>
    <col min="20" max="20" width="15.33203125" bestFit="1" customWidth="1"/>
    <col min="21" max="21" width="25.109375" bestFit="1" customWidth="1"/>
    <col min="22" max="22" width="24.5546875" bestFit="1" customWidth="1"/>
    <col min="23" max="23" width="18.109375" bestFit="1" customWidth="1"/>
    <col min="24" max="24" width="20.109375" bestFit="1" customWidth="1"/>
    <col min="25" max="25" width="26.21875" bestFit="1" customWidth="1"/>
    <col min="26" max="26" width="25.5546875" bestFit="1" customWidth="1"/>
    <col min="27" max="27" width="19.109375" bestFit="1" customWidth="1"/>
    <col min="28" max="28" width="21.109375" bestFit="1" customWidth="1"/>
  </cols>
  <sheetData>
    <row r="1" spans="1:24">
      <c r="A1" s="32" t="s">
        <v>38</v>
      </c>
      <c r="B1" s="30" t="s">
        <v>39</v>
      </c>
      <c r="C1" s="30" t="s">
        <v>20</v>
      </c>
      <c r="D1" s="30" t="s">
        <v>40</v>
      </c>
      <c r="E1" s="30" t="s">
        <v>41</v>
      </c>
      <c r="F1" s="30" t="s">
        <v>42</v>
      </c>
      <c r="G1" s="30" t="s">
        <v>43</v>
      </c>
      <c r="H1" s="30" t="s">
        <v>44</v>
      </c>
      <c r="I1" s="30" t="s">
        <v>45</v>
      </c>
      <c r="J1" s="30" t="s">
        <v>46</v>
      </c>
      <c r="K1" s="30" t="s">
        <v>47</v>
      </c>
      <c r="L1" s="30" t="s">
        <v>49</v>
      </c>
      <c r="M1" s="30" t="s">
        <v>50</v>
      </c>
      <c r="N1" s="30" t="s">
        <v>48</v>
      </c>
      <c r="O1" s="30" t="s">
        <v>51</v>
      </c>
      <c r="P1" s="31" t="s">
        <v>56</v>
      </c>
      <c r="Q1" s="31" t="s">
        <v>57</v>
      </c>
      <c r="R1" s="31" t="s">
        <v>52</v>
      </c>
      <c r="S1" s="31" t="s">
        <v>79</v>
      </c>
      <c r="T1" s="31" t="s">
        <v>78</v>
      </c>
      <c r="U1" s="31" t="s">
        <v>96</v>
      </c>
      <c r="V1" s="31" t="s">
        <v>97</v>
      </c>
      <c r="W1" s="31" t="s">
        <v>132</v>
      </c>
      <c r="X1" s="31" t="s">
        <v>98</v>
      </c>
    </row>
    <row r="2" spans="1:24">
      <c r="F2" s="4"/>
      <c r="G2" s="4"/>
      <c r="N2" s="4"/>
      <c r="O2" t="str">
        <f>IF(ISBLANK(A2), "", IF(NOT(AND(LEN(TRIM(A2))=10, ISNUMBER(VALUE(TRIM(A2))))), "Invalid PO Number", IF(ISNUMBER(MATCH(A2,#REF!, 0)), "Already Exists in Master — Use Manual_PO_Overrides", IF(COUNTIF(A:A, A2)&gt;1, "Duplicate Manual Addition", "Valid New PO"))))</f>
        <v/>
      </c>
    </row>
    <row r="3" spans="1:24">
      <c r="F3" s="4"/>
      <c r="G3" s="4"/>
      <c r="N3" s="4"/>
      <c r="O3" t="str">
        <f>IF(ISBLANK(A3), "", IF(NOT(AND(LEN(TRIM(A3))=10, ISNUMBER(VALUE(TRIM(A3))))), "Invalid PO Number", IF(ISNUMBER(MATCH(A3,#REF!, 0)), "Already Exists in Master — Use Manual_PO_Overrides", IF(COUNTIF(A:A, A3)&gt;1, "Duplicate Manual Addition", "Valid New PO"))))</f>
        <v/>
      </c>
    </row>
    <row r="4" spans="1:24">
      <c r="F4" s="4"/>
      <c r="G4" s="4"/>
      <c r="N4" s="4"/>
      <c r="O4" t="str">
        <f>IF(ISBLANK(A4), "", IF(NOT(AND(LEN(TRIM(A4))=10, ISNUMBER(VALUE(TRIM(A4))))), "Invalid PO Number", IF(ISNUMBER(MATCH(A4,#REF!, 0)), "Already Exists in Master — Use Manual_PO_Overrides", IF(COUNTIF(A:A, A4)&gt;1, "Duplicate Manual Addition", "Valid New PO"))))</f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topLeftCell="C1" workbookViewId="0">
      <selection activeCell="H4" sqref="H4"/>
    </sheetView>
  </sheetViews>
  <sheetFormatPr defaultRowHeight="14.4"/>
  <cols>
    <col min="1" max="1" width="11.33203125" bestFit="1" customWidth="1"/>
    <col min="2" max="2" width="19.33203125" bestFit="1" customWidth="1"/>
    <col min="3" max="3" width="17.109375" bestFit="1" customWidth="1"/>
    <col min="4" max="4" width="22.33203125" bestFit="1" customWidth="1"/>
    <col min="5" max="5" width="20.6640625" bestFit="1" customWidth="1"/>
    <col min="6" max="6" width="15.33203125" bestFit="1" customWidth="1"/>
    <col min="7" max="7" width="16" bestFit="1" customWidth="1"/>
    <col min="8" max="8" width="10.6640625" bestFit="1" customWidth="1"/>
  </cols>
  <sheetData>
    <row r="1" spans="1:8" ht="28.8" customHeight="1">
      <c r="A1" s="6" t="s">
        <v>38</v>
      </c>
      <c r="B1" s="6" t="s">
        <v>80</v>
      </c>
      <c r="C1" s="6" t="s">
        <v>81</v>
      </c>
      <c r="D1" s="6" t="s">
        <v>82</v>
      </c>
      <c r="E1" s="6" t="s">
        <v>83</v>
      </c>
      <c r="F1" s="6" t="s">
        <v>84</v>
      </c>
      <c r="G1" s="6" t="s">
        <v>85</v>
      </c>
      <c r="H1" s="6" t="s">
        <v>86</v>
      </c>
    </row>
    <row r="2" spans="1:8">
      <c r="A2" s="7">
        <v>4100001001</v>
      </c>
      <c r="B2" s="7" t="s">
        <v>77</v>
      </c>
      <c r="C2" s="7" t="s">
        <v>23</v>
      </c>
      <c r="D2" s="7" t="s">
        <v>253</v>
      </c>
      <c r="E2" s="7" t="s">
        <v>254</v>
      </c>
      <c r="F2" s="7" t="s">
        <v>255</v>
      </c>
      <c r="G2" s="28">
        <v>46274</v>
      </c>
      <c r="H2" s="7" t="s">
        <v>87</v>
      </c>
    </row>
    <row r="3" spans="1:8">
      <c r="A3" s="7">
        <v>4100001001</v>
      </c>
      <c r="B3" t="s">
        <v>20</v>
      </c>
      <c r="C3" t="s">
        <v>35</v>
      </c>
      <c r="D3" t="s">
        <v>256</v>
      </c>
      <c r="E3" s="7" t="s">
        <v>254</v>
      </c>
      <c r="F3" t="s">
        <v>257</v>
      </c>
      <c r="G3" s="4">
        <v>46289</v>
      </c>
      <c r="H3" t="s">
        <v>87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>
      <selection activeCell="A8" sqref="A8"/>
    </sheetView>
  </sheetViews>
  <sheetFormatPr defaultRowHeight="14.4"/>
  <cols>
    <col min="1" max="1" width="11.33203125" bestFit="1" customWidth="1"/>
    <col min="2" max="2" width="21.109375" bestFit="1" customWidth="1"/>
    <col min="3" max="3" width="20.6640625" bestFit="1" customWidth="1"/>
    <col min="4" max="4" width="15.5546875" bestFit="1" customWidth="1"/>
    <col min="5" max="5" width="17.6640625" bestFit="1" customWidth="1"/>
    <col min="6" max="6" width="10.6640625" bestFit="1" customWidth="1"/>
  </cols>
  <sheetData>
    <row r="1" spans="1:6">
      <c r="A1" s="29" t="s">
        <v>38</v>
      </c>
      <c r="B1" s="3" t="s">
        <v>82</v>
      </c>
      <c r="C1" s="3" t="s">
        <v>83</v>
      </c>
      <c r="D1" s="3" t="s">
        <v>88</v>
      </c>
      <c r="E1" s="3" t="s">
        <v>89</v>
      </c>
      <c r="F1" s="3" t="s">
        <v>86</v>
      </c>
    </row>
    <row r="2" spans="1:6">
      <c r="A2" s="33">
        <v>4100001005</v>
      </c>
      <c r="B2" s="7" t="s">
        <v>256</v>
      </c>
      <c r="C2" s="7" t="s">
        <v>258</v>
      </c>
      <c r="D2" s="7" t="s">
        <v>257</v>
      </c>
      <c r="E2" s="34">
        <v>46289</v>
      </c>
      <c r="F2" s="33" t="s">
        <v>54</v>
      </c>
    </row>
    <row r="7" spans="1:6">
      <c r="A7" s="6"/>
      <c r="B7" s="6"/>
      <c r="C7" s="6"/>
      <c r="D7" s="6"/>
      <c r="E7" s="6"/>
      <c r="F7" s="6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"/>
  <sheetViews>
    <sheetView workbookViewId="0">
      <selection activeCell="B9" sqref="B9"/>
    </sheetView>
  </sheetViews>
  <sheetFormatPr defaultRowHeight="14.4"/>
  <cols>
    <col min="1" max="1" width="12.5546875" bestFit="1" customWidth="1"/>
    <col min="2" max="2" width="56.5546875" bestFit="1" customWidth="1"/>
  </cols>
  <sheetData>
    <row r="1" spans="1:2">
      <c r="A1" s="26" t="s">
        <v>90</v>
      </c>
      <c r="B1" s="5" t="s">
        <v>91</v>
      </c>
    </row>
    <row r="2" spans="1:2">
      <c r="A2" t="s">
        <v>92</v>
      </c>
      <c r="B2" s="27" t="s">
        <v>135</v>
      </c>
    </row>
    <row r="3" spans="1:2">
      <c r="A3" t="s">
        <v>93</v>
      </c>
      <c r="B3" s="27" t="s">
        <v>136</v>
      </c>
    </row>
    <row r="4" spans="1:2">
      <c r="A4" t="s">
        <v>94</v>
      </c>
      <c r="B4" s="27" t="s">
        <v>137</v>
      </c>
    </row>
    <row r="5" spans="1:2">
      <c r="A5" t="s">
        <v>95</v>
      </c>
      <c r="B5" s="27" t="s">
        <v>138</v>
      </c>
    </row>
    <row r="16" spans="1:2">
      <c r="B16" t="s">
        <v>134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682360-9411-427B-919F-738C001BB0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Navigation_Hub</vt:lpstr>
      <vt:lpstr>Executive_Dashboard</vt:lpstr>
      <vt:lpstr>q_Unified_Master</vt:lpstr>
      <vt:lpstr>q_QA_Checks</vt:lpstr>
      <vt:lpstr>Manual_PO_Additions</vt:lpstr>
      <vt:lpstr>Manual_PO_Overrides</vt:lpstr>
      <vt:lpstr>Manual_PO_Exclusions</vt:lpstr>
      <vt:lpstr>PQ_Settings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Jain</cp:lastModifiedBy>
  <dcterms:created xsi:type="dcterms:W3CDTF">2026-09-09T06:18:20Z</dcterms:created>
  <dcterms:modified xsi:type="dcterms:W3CDTF">2026-09-24T10:02:38Z</dcterms:modified>
</cp:coreProperties>
</file>